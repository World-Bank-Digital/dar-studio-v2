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Indicators" sheetId="2" state="visible" r:id="rId4"/>
    <sheet name="Level anchors" sheetId="3" state="visible" r:id="rId5"/>
    <sheet name="Pillars" sheetId="4" state="visible" r:id="rId6"/>
    <sheet name="Core gates" sheetId="5" state="visible" r:id="rId7"/>
    <sheet name="Scoring rules" sheetId="6" state="visible" r:id="rId8"/>
    <sheet name="Decision ladder" sheetId="7" state="visible" r:id="rId9"/>
    <sheet name="Glossary" sheetId="8" state="visible" r:id="rId10"/>
    <sheet name="Methodology" sheetId="9" state="visible" r:id="rId11"/>
    <sheet name="Model outline" sheetId="10" state="visible" r:id="rId12"/>
  </sheets>
  <definedNames>
    <definedName function="false" hidden="true" localSheetId="1" name="_xlnm._FilterDatabase" vbProcedure="false">Indicators!$A$1:$P$98</definedName>
    <definedName function="false" hidden="true" localSheetId="2" name="_xlnm._FilterDatabase" vbProcedure="false">'Level anchors'!$A$1:$G$98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<sst xmlns="http://schemas.openxmlformats.org/spreadsheetml/2006/main" count="2067" uniqueCount="810">
  <si>
    <t xml:space="preserve">DAMM 1.3-DRAFT — model configuration</t>
  </si>
  <si>
    <t xml:space="preserve">Model</t>
  </si>
  <si>
    <t xml:space="preserve">DAMM</t>
  </si>
  <si>
    <t xml:space="preserve">Version</t>
  </si>
  <si>
    <t xml:space="preserve">1.3-DRAFT</t>
  </si>
  <si>
    <t xml:space="preserve">Status</t>
  </si>
  <si>
    <t xml:space="preserve">BETA / PILOT - scoring core; DESIGN DRAFT - operationalization layer</t>
  </si>
  <si>
    <t xml:space="preserve">Assessment year</t>
  </si>
  <si>
    <t xml:space="preserve">Extracted from</t>
  </si>
  <si>
    <t xml:space="preserve">DAMM_v1.3_Workbook_DRAFT.xlsx</t>
  </si>
  <si>
    <t xml:space="preserve">Indicators</t>
  </si>
  <si>
    <t xml:space="preserve">Pillars</t>
  </si>
  <si>
    <t xml:space="preserve">Core gates</t>
  </si>
  <si>
    <t xml:space="preserve">Ladder steps</t>
  </si>
  <si>
    <t xml:space="preserve">Prohibitions wired into the model</t>
  </si>
  <si>
    <t xml:space="preserve">No cross-country ranking</t>
  </si>
  <si>
    <t xml:space="preserve">No maturity stage before human validation (engagement-package rule)</t>
  </si>
  <si>
    <t xml:space="preserve">No DAMM score or stage movement as PDO indicator, DLI or disbursement condition</t>
  </si>
  <si>
    <t xml:space="preserve">No automatic financing, procurement, vendor or technology decisions</t>
  </si>
  <si>
    <t xml:space="preserve">Sheets</t>
  </si>
  <si>
    <t xml:space="preserve">All 97 indicators: pillar, role, method, direction, core-gate flag, staleness limit and the value thresholds for levels 2-5.</t>
  </si>
  <si>
    <t xml:space="preserve">Level anchors</t>
  </si>
  <si>
    <t xml:space="preserve">The written L1-L5 anchor text for every indicator — what each level means in words.</t>
  </si>
  <si>
    <t xml:space="preserve">The 8 pillars with their role and weight. C0 is context and is never aggregated into a score.</t>
  </si>
  <si>
    <t xml:space="preserve">The 13 prerequisite indicators. One at Level 1 caps the stage; one unmeasured suppresses it.</t>
  </si>
  <si>
    <t xml:space="preserve">Scoring rules</t>
  </si>
  <si>
    <t xml:space="preserve">Bands, stage thresholds, coverage gates and confidence weights.</t>
  </si>
  <si>
    <t xml:space="preserve">Decision ladder</t>
  </si>
  <si>
    <t xml:space="preserve">The 8 steps from automated diagnostic to adoption, and who decides each.</t>
  </si>
  <si>
    <t xml:space="preserve">Glossary</t>
  </si>
  <si>
    <t xml:space="preserve">CMS, EMS, OES and the other terms, defined as the model defines them.</t>
  </si>
  <si>
    <t xml:space="preserve">Methodology</t>
  </si>
  <si>
    <t xml:space="preserve">Purpose, explicit non-purposes, scoring rules, the cascade and provenance requirements.</t>
  </si>
  <si>
    <t xml:space="preserve">Model outline</t>
  </si>
  <si>
    <t xml:space="preserve">The outline carried inside the model file. NOTE: the DAR Studio application drafts to its own 17-chapter + 11-annex outline instead, per the master prompt.</t>
  </si>
  <si>
    <t xml:space="preserve">Reading the thresholds</t>
  </si>
  <si>
    <t xml:space="preserve">Quantitative indicators carry four thresholds. Where Direction is Higher, a value at or above the L5 threshold scores 5, at or above L4 scores 4, and so on; below the L2 threshold scores 1.</t>
  </si>
  <si>
    <t xml:space="preserve">Where Direction is Lower, the comparison reverses: at or below the L5 threshold scores 5.</t>
  </si>
  <si>
    <t xml:space="preserve">Where Direction is N/A there are no thresholds — the indicator is an anchored rubric assessed against the words in 'Level anchors', or a context profile that is never scored.</t>
  </si>
  <si>
    <t xml:space="preserve">Source of every value in this workbook: src/data/model_v1_3.json in the DAR Studio repository, itself extracted from DAMM_v1.3_Workbook_DRAFT.xlsx.</t>
  </si>
  <si>
    <t xml:space="preserve">ID</t>
  </si>
  <si>
    <t xml:space="preserve">Indicator</t>
  </si>
  <si>
    <t xml:space="preserve">Pillar</t>
  </si>
  <si>
    <t xml:space="preserve">Pillar name</t>
  </si>
  <si>
    <t xml:space="preserve">Role</t>
  </si>
  <si>
    <t xml:space="preserve">Source type</t>
  </si>
  <si>
    <t xml:space="preserve">Method</t>
  </si>
  <si>
    <t xml:space="preserve">Direction</t>
  </si>
  <si>
    <t xml:space="preserve">Core gate</t>
  </si>
  <si>
    <t xml:space="preserve">Max age (yrs)</t>
  </si>
  <si>
    <t xml:space="preserve">L2 threshold</t>
  </si>
  <si>
    <t xml:space="preserve">L3 threshold</t>
  </si>
  <si>
    <t xml:space="preserve">L4 threshold</t>
  </si>
  <si>
    <t xml:space="preserve">L5 threshold</t>
  </si>
  <si>
    <t xml:space="preserve">Rubric status</t>
  </si>
  <si>
    <t xml:space="preserve">Calibration note</t>
  </si>
  <si>
    <t xml:space="preserve">1.1</t>
  </si>
  <si>
    <t xml:space="preserve">Agriculture value added per worker (constant 2015 USD)</t>
  </si>
  <si>
    <t xml:space="preserve">C0</t>
  </si>
  <si>
    <t xml:space="preserve">C0: Agricultural context &amp; need</t>
  </si>
  <si>
    <t xml:space="preserve">Context</t>
  </si>
  <si>
    <t xml:space="preserve">Global</t>
  </si>
  <si>
    <t xml:space="preserve">Context profile (not aggregated)</t>
  </si>
  <si>
    <t xml:space="preserve">N/A</t>
  </si>
  <si>
    <t xml:space="preserve">Context only</t>
  </si>
  <si>
    <t xml:space="preserve">Report level, distribution and trend separately; exclude from maturity arithmetic.</t>
  </si>
  <si>
    <t xml:space="preserve">1.2</t>
  </si>
  <si>
    <t xml:space="preserve">Cereal yield (kg per hectare)</t>
  </si>
  <si>
    <t xml:space="preserve">1.3</t>
  </si>
  <si>
    <t xml:space="preserve">Employment in agriculture (% of total employment)</t>
  </si>
  <si>
    <t xml:space="preserve">1.4</t>
  </si>
  <si>
    <t xml:space="preserve">Food production index (2014-2016 = 100)</t>
  </si>
  <si>
    <t xml:space="preserve">1.5</t>
  </si>
  <si>
    <t xml:space="preserve">Post-harvest loss rate (%)</t>
  </si>
  <si>
    <t xml:space="preserve">Local</t>
  </si>
  <si>
    <t xml:space="preserve">1.6</t>
  </si>
  <si>
    <t xml:space="preserve">Smallholder access to formal markets (%)</t>
  </si>
  <si>
    <t xml:space="preserve">1.7</t>
  </si>
  <si>
    <t xml:space="preserve">Agricultural credit access (% of farmers)</t>
  </si>
  <si>
    <t xml:space="preserve">1.8</t>
  </si>
  <si>
    <t xml:space="preserve">Farmers using climate-smart/sustainable practices (%)</t>
  </si>
  <si>
    <t xml:space="preserve">1.9</t>
  </si>
  <si>
    <t xml:space="preserve">National innovation/extension programs with digital component</t>
  </si>
  <si>
    <t xml:space="preserve">C4</t>
  </si>
  <si>
    <t xml:space="preserve">C4: Human &amp; institutional capacity</t>
  </si>
  <si>
    <t xml:space="preserve">Capability</t>
  </si>
  <si>
    <t xml:space="preserve">Anchored capability rubric</t>
  </si>
  <si>
    <t xml:space="preserve">Anchored rubric - validate through panel scoring</t>
  </si>
  <si>
    <t xml:space="preserve">Score through a multi-stakeholder evidence panel; require documentary evidence and record dissent.</t>
  </si>
  <si>
    <t xml:space="preserve">2.1</t>
  </si>
  <si>
    <t xml:space="preserve">Rural population covered by at least 3G (%)</t>
  </si>
  <si>
    <t xml:space="preserve">C1</t>
  </si>
  <si>
    <t xml:space="preserve">C1: Connectivity &amp; affordable access</t>
  </si>
  <si>
    <t xml:space="preserve">Quantitative threshold</t>
  </si>
  <si>
    <t xml:space="preserve">Higher</t>
  </si>
  <si>
    <t xml:space="preserve">YES</t>
  </si>
  <si>
    <t xml:space="preserve">PROVISIONAL - calibrate against peer distribution</t>
  </si>
  <si>
    <t xml:space="preserve">Use the suggested level as a starting point only; document any override and recalibrate cut-offs using peer distributions.</t>
  </si>
  <si>
    <t xml:space="preserve">2.2</t>
  </si>
  <si>
    <t xml:space="preserve">Rural population covered by at least 4G (%)</t>
  </si>
  <si>
    <t xml:space="preserve">2.3</t>
  </si>
  <si>
    <t xml:space="preserve">Active mobile broadband subscriptions per 100 inhabitants</t>
  </si>
  <si>
    <t xml:space="preserve">2.4</t>
  </si>
  <si>
    <t xml:space="preserve">Individuals using the Internet (% of population)</t>
  </si>
  <si>
    <t xml:space="preserve">2.5</t>
  </si>
  <si>
    <t xml:space="preserve">Mobile broadband basket price (% GNI per capita)</t>
  </si>
  <si>
    <t xml:space="preserve">Lower</t>
  </si>
  <si>
    <t xml:space="preserve">2.6</t>
  </si>
  <si>
    <t xml:space="preserve">Adults with mobile phone (% age 15+)</t>
  </si>
  <si>
    <t xml:space="preserve">2.7</t>
  </si>
  <si>
    <t xml:space="preserve">Smartphone ownership among rural/agricultural population (%)</t>
  </si>
  <si>
    <t xml:space="preserve">2.8</t>
  </si>
  <si>
    <t xml:space="preserve">Average mobile data cost in rural areas (USD per GB)</t>
  </si>
  <si>
    <t xml:space="preserve">2.9</t>
  </si>
  <si>
    <t xml:space="preserve">Electricity access in rural areas (%)</t>
  </si>
  <si>
    <t xml:space="preserve">2.10</t>
  </si>
  <si>
    <t xml:space="preserve">Average download speed in agricultural areas (Mbps)</t>
  </si>
  <si>
    <t xml:space="preserve">2.11</t>
  </si>
  <si>
    <t xml:space="preserve">Device financing/subsidy schemes for farmers</t>
  </si>
  <si>
    <t xml:space="preserve">3.1</t>
  </si>
  <si>
    <t xml:space="preserve">UN E-Government Development Index (EGDI)</t>
  </si>
  <si>
    <t xml:space="preserve">C2</t>
  </si>
  <si>
    <t xml:space="preserve">C2: Data infrastructure &amp; DPI</t>
  </si>
  <si>
    <t xml:space="preserve">3.2</t>
  </si>
  <si>
    <t xml:space="preserve">Open Data Inventory (ODIN) score</t>
  </si>
  <si>
    <t xml:space="preserve">3.3</t>
  </si>
  <si>
    <t xml:space="preserve">National farmer registry/database</t>
  </si>
  <si>
    <t xml:space="preserve">3.4</t>
  </si>
  <si>
    <t xml:space="preserve">Digital land/plot registration system</t>
  </si>
  <si>
    <t xml:space="preserve">3.5</t>
  </si>
  <si>
    <t xml:space="preserve">National agricultural data portal / open data</t>
  </si>
  <si>
    <t xml:space="preserve">3.6</t>
  </si>
  <si>
    <t xml:space="preserve">Weather/climate data infrastructure for agriculture</t>
  </si>
  <si>
    <t xml:space="preserve">v1.3 rewrite: anchor now tests the full climate-services chain (observation -&gt; forecast -&gt; last-mile reach), not data infrastructure alone.</t>
  </si>
  <si>
    <t xml:space="preserve">3.7</t>
  </si>
  <si>
    <t xml:space="preserve">Satellite/earth observation data integration capability</t>
  </si>
  <si>
    <t xml:space="preserve">3.8</t>
  </si>
  <si>
    <t xml:space="preserve">National soil map/database (digital)</t>
  </si>
  <si>
    <t xml:space="preserve">3.9</t>
  </si>
  <si>
    <t xml:space="preserve">Digital advisory platforms reaching &gt;10,000 users</t>
  </si>
  <si>
    <t xml:space="preserve">3.10</t>
  </si>
  <si>
    <t xml:space="preserve">Digital agricultural market/e-commerce platforms (&gt;5,000 active users)</t>
  </si>
  <si>
    <t xml:space="preserve">3.11</t>
  </si>
  <si>
    <t xml:space="preserve">Interoperability standards for agricultural data</t>
  </si>
  <si>
    <t xml:space="preserve">3.12</t>
  </si>
  <si>
    <t xml:space="preserve">AI-ready agricultural datasets</t>
  </si>
  <si>
    <t xml:space="preserve">4.1</t>
  </si>
  <si>
    <t xml:space="preserve">Data protection/privacy law</t>
  </si>
  <si>
    <t xml:space="preserve">C3</t>
  </si>
  <si>
    <t xml:space="preserve">C3: Policy, governance &amp; safeguards</t>
  </si>
  <si>
    <t xml:space="preserve">4.2</t>
  </si>
  <si>
    <t xml:space="preserve">Cybersecurity legal framework (ITU GCI)</t>
  </si>
  <si>
    <t xml:space="preserve">4.3</t>
  </si>
  <si>
    <t xml:space="preserve">Government AI Readiness Index</t>
  </si>
  <si>
    <t xml:space="preserve">4.4</t>
  </si>
  <si>
    <t xml:space="preserve">National digital agriculture strategy</t>
  </si>
  <si>
    <t xml:space="preserve">4.5</t>
  </si>
  <si>
    <t xml:space="preserve">Agricultural data governance framework</t>
  </si>
  <si>
    <t xml:space="preserve">4.6</t>
  </si>
  <si>
    <t xml:space="preserve">National AI strategy with agriculture component</t>
  </si>
  <si>
    <t xml:space="preserve">4.7</t>
  </si>
  <si>
    <t xml:space="preserve">Digital ID system coverage (% of population)</t>
  </si>
  <si>
    <t xml:space="preserve">4.8</t>
  </si>
  <si>
    <t xml:space="preserve">Data sovereignty provisions for agricultural data</t>
  </si>
  <si>
    <t xml:space="preserve">4.9</t>
  </si>
  <si>
    <t xml:space="preserve">Inter-ministerial coordination mechanism for digital agriculture</t>
  </si>
  <si>
    <t xml:space="preserve">4.10</t>
  </si>
  <si>
    <t xml:space="preserve">Competition/antitrust framework for digital agricultural markets</t>
  </si>
  <si>
    <t xml:space="preserve">4.11</t>
  </si>
  <si>
    <t xml:space="preserve">Public procurement rules enabling digital agriculture innovation</t>
  </si>
  <si>
    <t xml:space="preserve">4.12</t>
  </si>
  <si>
    <t xml:space="preserve">Spectrum allocation for rural/agricultural IoT</t>
  </si>
  <si>
    <t xml:space="preserve">4.13</t>
  </si>
  <si>
    <t xml:space="preserve">Responsible AI principles/guidelines for agriculture</t>
  </si>
  <si>
    <t xml:space="preserve">5.1</t>
  </si>
  <si>
    <t xml:space="preserve">Mean years of schooling (adults 25+)</t>
  </si>
  <si>
    <t xml:space="preserve">5.2</t>
  </si>
  <si>
    <t xml:space="preserve">Adult literacy rate (% age 15+)</t>
  </si>
  <si>
    <t xml:space="preserve">5.3</t>
  </si>
  <si>
    <t xml:space="preserve">Tertiary enrollment in STEM fields (% gross)</t>
  </si>
  <si>
    <t xml:space="preserve">5.4</t>
  </si>
  <si>
    <t xml:space="preserve">Digital literacy among farmers (%)</t>
  </si>
  <si>
    <t xml:space="preserve">5.5</t>
  </si>
  <si>
    <t xml:space="preserve">Extension workers trained in digital tools (%)</t>
  </si>
  <si>
    <t xml:space="preserve">5.6</t>
  </si>
  <si>
    <t xml:space="preserve">Farmer-to-digital-extension-worker ratio</t>
  </si>
  <si>
    <t xml:space="preserve">5.7</t>
  </si>
  <si>
    <t xml:space="preserve">Dedicated digital/AI units in Ministry of Agriculture</t>
  </si>
  <si>
    <t xml:space="preserve">5.8</t>
  </si>
  <si>
    <t xml:space="preserve">University programs in agtech/digital agriculture</t>
  </si>
  <si>
    <t xml:space="preserve">5.9</t>
  </si>
  <si>
    <t xml:space="preserve">Data science/AI training programs for agriculture</t>
  </si>
  <si>
    <t xml:space="preserve">5.10</t>
  </si>
  <si>
    <t xml:space="preserve">Digital skills training reach (% of farmer population per year)</t>
  </si>
  <si>
    <t xml:space="preserve">5.11</t>
  </si>
  <si>
    <t xml:space="preserve">Institutional digital maturity of key agricultural agencies</t>
  </si>
  <si>
    <t xml:space="preserve">5.12</t>
  </si>
  <si>
    <t xml:space="preserve">Gender balance in digital agriculture workforce</t>
  </si>
  <si>
    <t xml:space="preserve">6.1</t>
  </si>
  <si>
    <t xml:space="preserve">Global Innovation Index (GII) score</t>
  </si>
  <si>
    <t xml:space="preserve">E1</t>
  </si>
  <si>
    <t xml:space="preserve">E1: Innovation &amp; private sector</t>
  </si>
  <si>
    <t xml:space="preserve">Ecosystem</t>
  </si>
  <si>
    <t xml:space="preserve">6.2</t>
  </si>
  <si>
    <t xml:space="preserve">R&amp;D expenditure (% of GDP)</t>
  </si>
  <si>
    <t xml:space="preserve">6.3</t>
  </si>
  <si>
    <t xml:space="preserve">Business Ready (B-READY) score</t>
  </si>
  <si>
    <t xml:space="preserve">6.4</t>
  </si>
  <si>
    <t xml:space="preserve">Active agtech startups/firms</t>
  </si>
  <si>
    <t xml:space="preserve">6.5</t>
  </si>
  <si>
    <t xml:space="preserve">Venture capital/investment in agtech (annual USD)</t>
  </si>
  <si>
    <t xml:space="preserve">6.6</t>
  </si>
  <si>
    <t xml:space="preserve">Agtech accelerators/incubators</t>
  </si>
  <si>
    <t xml:space="preserve">6.7</t>
  </si>
  <si>
    <t xml:space="preserve">Agribusiness firms using AI/ML in operations (%)</t>
  </si>
  <si>
    <t xml:space="preserve">6.8</t>
  </si>
  <si>
    <t xml:space="preserve">Regulatory sandboxes for agtech/fintech</t>
  </si>
  <si>
    <t xml:space="preserve">6.9</t>
  </si>
  <si>
    <t xml:space="preserve">Public-private partnerships in digital agriculture</t>
  </si>
  <si>
    <t xml:space="preserve">6.10</t>
  </si>
  <si>
    <t xml:space="preserve">Government grants/funding for agtech innovation (annual USD)</t>
  </si>
  <si>
    <t xml:space="preserve">6.11</t>
  </si>
  <si>
    <t xml:space="preserve">Digital financial services platforms for agriculture</t>
  </si>
  <si>
    <t xml:space="preserve">6.12</t>
  </si>
  <si>
    <t xml:space="preserve">Digital public goods adopted in agriculture</t>
  </si>
  <si>
    <t xml:space="preserve">6.13</t>
  </si>
  <si>
    <t xml:space="preserve">SME access to digital agriculture tools/platforms (%)</t>
  </si>
  <si>
    <t xml:space="preserve">7.1</t>
  </si>
  <si>
    <t xml:space="preserve">AI-related scientific publications per million population</t>
  </si>
  <si>
    <t xml:space="preserve">E2</t>
  </si>
  <si>
    <t xml:space="preserve">E2: Responsible AI &amp; emerging tech</t>
  </si>
  <si>
    <t xml:space="preserve">7.2</t>
  </si>
  <si>
    <t xml:space="preserve">AI systems deployed in public agricultural sector</t>
  </si>
  <si>
    <t xml:space="preserve">7.3</t>
  </si>
  <si>
    <t xml:space="preserve">AI-enabled advisory services (farmer reach %)</t>
  </si>
  <si>
    <t xml:space="preserve">7.4</t>
  </si>
  <si>
    <t xml:space="preserve">AI for crop/pest/disease detection and monitoring</t>
  </si>
  <si>
    <t xml:space="preserve">7.5</t>
  </si>
  <si>
    <t xml:space="preserve">AI in agricultural finance (credit scoring, insurance)</t>
  </si>
  <si>
    <t xml:space="preserve">7.6</t>
  </si>
  <si>
    <t xml:space="preserve">AI for supply chain optimization and traceability</t>
  </si>
  <si>
    <t xml:space="preserve">7.7</t>
  </si>
  <si>
    <t xml:space="preserve">AI for climate forecasting and agricultural risk management</t>
  </si>
  <si>
    <t xml:space="preserve">7.8</t>
  </si>
  <si>
    <t xml:space="preserve">AI talent in agriculture sector</t>
  </si>
  <si>
    <t xml:space="preserve">7.9</t>
  </si>
  <si>
    <t xml:space="preserve">Cybersecurity of agricultural digital systems</t>
  </si>
  <si>
    <t xml:space="preserve">v1.3 recast: replaces the national GCI proxy. If only the national index is available, import it as context and record a Data Gap here.</t>
  </si>
  <si>
    <t xml:space="preserve">7.10</t>
  </si>
  <si>
    <t xml:space="preserve">Explainability and transparency of AI systems in agriculture</t>
  </si>
  <si>
    <t xml:space="preserve">v1.3 recast: replaces the pseudo-quantified 0-100 score.</t>
  </si>
  <si>
    <t xml:space="preserve">7.11</t>
  </si>
  <si>
    <t xml:space="preserve">Bias monitoring and mitigation in agricultural AI</t>
  </si>
  <si>
    <t xml:space="preserve">7.12</t>
  </si>
  <si>
    <t xml:space="preserve">Farmer consent and data rights in AI systems</t>
  </si>
  <si>
    <t xml:space="preserve">v1.3 recast: replaces the pseudo-quantified 0-100 score. Core gate - anchor quality is priority 1.</t>
  </si>
  <si>
    <t xml:space="preserve">8.1</t>
  </si>
  <si>
    <t xml:space="preserve">Prevalence of undernourishment (% of population)</t>
  </si>
  <si>
    <t xml:space="preserve">O1</t>
  </si>
  <si>
    <t xml:space="preserve">O1: Inclusion, sustainability &amp; outcomes</t>
  </si>
  <si>
    <t xml:space="preserve">Outcome</t>
  </si>
  <si>
    <t xml:space="preserve">8.2</t>
  </si>
  <si>
    <t xml:space="preserve">Account ownership, female (% age 15+)</t>
  </si>
  <si>
    <t xml:space="preserve">8.3</t>
  </si>
  <si>
    <t xml:space="preserve">Gender gap in account ownership (male % minus female %)</t>
  </si>
  <si>
    <t xml:space="preserve">8.4</t>
  </si>
  <si>
    <t xml:space="preserve">Mobile money account (% age 15+)</t>
  </si>
  <si>
    <t xml:space="preserve">8.5</t>
  </si>
  <si>
    <t xml:space="preserve">Women who own land (% of agricultural holders)</t>
  </si>
  <si>
    <t xml:space="preserve">8.6</t>
  </si>
  <si>
    <t xml:space="preserve">Gender gap in mobile phone ownership (percentage points)</t>
  </si>
  <si>
    <t xml:space="preserve">8.7</t>
  </si>
  <si>
    <t xml:space="preserve">Women using digital agricultural services (% of women farmers)</t>
  </si>
  <si>
    <t xml:space="preserve">8.8</t>
  </si>
  <si>
    <t xml:space="preserve">Youth (under 35) using digital agricultural services (%)</t>
  </si>
  <si>
    <t xml:space="preserve">8.9</t>
  </si>
  <si>
    <t xml:space="preserve">Smallholder farmers reached by digital services (% of total)</t>
  </si>
  <si>
    <t xml:space="preserve">8.10</t>
  </si>
  <si>
    <t xml:space="preserve">Affordability of digital agriculture services for poorest quintile</t>
  </si>
  <si>
    <t xml:space="preserve">v1.3 defined method: share of bottom-quintile rural households for whom the defined digital-agriculture service basket (device amortization + data + service fees) costs no more than 5% of household expenditure. Populate from FDUS / household survey.</t>
  </si>
  <si>
    <t xml:space="preserve">8.11</t>
  </si>
  <si>
    <t xml:space="preserve">Services available in local languages (% of major platforms)</t>
  </si>
  <si>
    <t xml:space="preserve">8.12</t>
  </si>
  <si>
    <t xml:space="preserve">Documented yield improvement from digital tools (%)</t>
  </si>
  <si>
    <t xml:space="preserve">Anchored evidence-quality rubric</t>
  </si>
  <si>
    <t xml:space="preserve">v1.3 recast: scores the QUALITY of impact evidence, not the size of claimed impact - prevents rewarding larger unverified numbers.</t>
  </si>
  <si>
    <t xml:space="preserve">8.13</t>
  </si>
  <si>
    <t xml:space="preserve">Documented income improvement from digital tools (%)</t>
  </si>
  <si>
    <t xml:space="preserve">v1.3 recast: scores the QUALITY of impact evidence, not the size of claimed impact.</t>
  </si>
  <si>
    <t xml:space="preserve">8.14</t>
  </si>
  <si>
    <t xml:space="preserve">Farmers using digital climate services (%)</t>
  </si>
  <si>
    <t xml:space="preserve">8.15</t>
  </si>
  <si>
    <t xml:space="preserve">Environmental sustainability of digital agriculture systems</t>
  </si>
  <si>
    <t xml:space="preserve">Level 1</t>
  </si>
  <si>
    <t xml:space="preserve">Level 2</t>
  </si>
  <si>
    <t xml:space="preserve">Level 3</t>
  </si>
  <si>
    <t xml:space="preserve">Level 4</t>
  </si>
  <si>
    <t xml:space="preserve">Level 5</t>
  </si>
  <si>
    <t xml:space="preserve">Profile the observed level and trend; do not interpret as digital maturity.</t>
  </si>
  <si>
    <t xml:space="preserve">Profile only.</t>
  </si>
  <si>
    <t xml:space="preserve">No credible national innovation/extension programs with digital component capability, or isolated informal activity only.</t>
  </si>
  <si>
    <t xml:space="preserve">Pilot or ad hoc national innovation/extension programs with digital component; narrow coverage, unclear ownership or donor dependence.</t>
  </si>
  <si>
    <t xml:space="preserve">Operational national innovation/extension programs with digital component with defined ownership and partial coverage; adoption or interoperability gaps remain.</t>
  </si>
  <si>
    <t xml:space="preserve">Scaled and funded national innovation/extension programs with digital component, with accountable governance, interoperability and broad use.</t>
  </si>
  <si>
    <t xml:space="preserve">Institutionalized, inclusive and resilient national innovation/extension programs with digital component, continuously improved and supported by verified outcomes.</t>
  </si>
  <si>
    <t xml:space="preserve">&lt; 20</t>
  </si>
  <si>
    <t xml:space="preserve">20 to &lt; 40</t>
  </si>
  <si>
    <t xml:space="preserve">40 to &lt; 60</t>
  </si>
  <si>
    <t xml:space="preserve">60 to &lt; 80</t>
  </si>
  <si>
    <t xml:space="preserve">&gt;= 80</t>
  </si>
  <si>
    <t xml:space="preserve">40 to &lt; 70</t>
  </si>
  <si>
    <t xml:space="preserve">70 to &lt; 100</t>
  </si>
  <si>
    <t xml:space="preserve">&gt;= 100</t>
  </si>
  <si>
    <t xml:space="preserve">&gt; 10</t>
  </si>
  <si>
    <t xml:space="preserve">&gt; 5 to &lt;= 10</t>
  </si>
  <si>
    <t xml:space="preserve">&gt; 2 to &lt;= 5</t>
  </si>
  <si>
    <t xml:space="preserve">&gt; 1 to &lt;= 2</t>
  </si>
  <si>
    <t xml:space="preserve">&lt;= 1</t>
  </si>
  <si>
    <t xml:space="preserve">&lt; 2</t>
  </si>
  <si>
    <t xml:space="preserve">2 to &lt; 5</t>
  </si>
  <si>
    <t xml:space="preserve">5 to &lt; 10</t>
  </si>
  <si>
    <t xml:space="preserve">10 to &lt; 25</t>
  </si>
  <si>
    <t xml:space="preserve">&gt;= 25</t>
  </si>
  <si>
    <t xml:space="preserve">No credible device financing/subsidy schemes for farmers capability, or isolated informal activity only.</t>
  </si>
  <si>
    <t xml:space="preserve">Pilot or ad hoc device financing/subsidy schemes for farmers; narrow coverage, unclear ownership or donor dependence.</t>
  </si>
  <si>
    <t xml:space="preserve">Operational device financing/subsidy schemes for farmers with defined ownership and partial coverage; adoption or interoperability gaps remain.</t>
  </si>
  <si>
    <t xml:space="preserve">Scaled and funded device financing/subsidy schemes for farmers, with accountable governance, interoperability and broad use.</t>
  </si>
  <si>
    <t xml:space="preserve">Institutionalized, inclusive and resilient device financing/subsidy schemes for farmers, continuously improved and supported by verified outcomes.</t>
  </si>
  <si>
    <t xml:space="preserve">&lt; 0.2</t>
  </si>
  <si>
    <t xml:space="preserve">0.2 to &lt; 0.4</t>
  </si>
  <si>
    <t xml:space="preserve">0.4 to &lt; 0.6</t>
  </si>
  <si>
    <t xml:space="preserve">0.6 to &lt; 0.8</t>
  </si>
  <si>
    <t xml:space="preserve">&gt;= 0.8</t>
  </si>
  <si>
    <t xml:space="preserve">No credible national farmer registry/database capability, or isolated informal activity only.</t>
  </si>
  <si>
    <t xml:space="preserve">Pilot or ad hoc national farmer registry/database; narrow coverage, unclear ownership or donor dependence.</t>
  </si>
  <si>
    <t xml:space="preserve">Operational national farmer registry/database with defined ownership and partial coverage; adoption or interoperability gaps remain.</t>
  </si>
  <si>
    <t xml:space="preserve">Scaled and funded national farmer registry/database, with accountable governance, interoperability and broad use.</t>
  </si>
  <si>
    <t xml:space="preserve">Institutionalized, inclusive and resilient national farmer registry/database, continuously improved and supported by verified outcomes.</t>
  </si>
  <si>
    <t xml:space="preserve">No credible digital land/plot registration system capability, or isolated informal activity only.</t>
  </si>
  <si>
    <t xml:space="preserve">Pilot or ad hoc digital land/plot registration system; narrow coverage, unclear ownership or donor dependence.</t>
  </si>
  <si>
    <t xml:space="preserve">Operational digital land/plot registration system with defined ownership and partial coverage; adoption or interoperability gaps remain.</t>
  </si>
  <si>
    <t xml:space="preserve">Scaled and funded digital land/plot registration system, with accountable governance, interoperability and broad use.</t>
  </si>
  <si>
    <t xml:space="preserve">Institutionalized, inclusive and resilient digital land/plot registration system, continuously improved and supported by verified outcomes.</t>
  </si>
  <si>
    <t xml:space="preserve">No credible national agricultural data portal / open data capability, or isolated informal activity only.</t>
  </si>
  <si>
    <t xml:space="preserve">Pilot or ad hoc national agricultural data portal / open data; narrow coverage, unclear ownership or donor dependence.</t>
  </si>
  <si>
    <t xml:space="preserve">Operational national agricultural data portal / open data with defined ownership and partial coverage; adoption or interoperability gaps remain.</t>
  </si>
  <si>
    <t xml:space="preserve">Scaled and funded national agricultural data portal / open data, with accountable governance, interoperability and broad use.</t>
  </si>
  <si>
    <t xml:space="preserve">Institutionalized, inclusive and resilient national agricultural data portal / open data, continuously improved and supported by verified outcomes.</t>
  </si>
  <si>
    <t xml:space="preserve">No functioning agrometeorological observation network or data access.</t>
  </si>
  <si>
    <t xml:space="preserve">Observation infrastructure exists but agriculture-relevant forecasts are not produced reliably.</t>
  </si>
  <si>
    <t xml:space="preserve">Agriculture-relevant forecasts and advisories are produced with defined ownership; dissemination reaches a minority of farming households; impact-based advisories are absent.</t>
  </si>
  <si>
    <t xml:space="preserve">Impact-based agromet advisories are produced and disseminated through channels reaching most farming areas (radio, mobile, extension), aligned to crop calendars.</t>
  </si>
  <si>
    <t xml:space="preserve">End-to-end climate services: observations, impact-based forecasts and last-mile dissemination with verified reach and farmer feedback, sustained by budget and a hydromet-agriculture agreement.</t>
  </si>
  <si>
    <t xml:space="preserve">No credible satellite/earth observation data integration capability capability, or isolated informal activity only.</t>
  </si>
  <si>
    <t xml:space="preserve">Pilot or ad hoc satellite/earth observation data integration capability; narrow coverage, unclear ownership or donor dependence.</t>
  </si>
  <si>
    <t xml:space="preserve">Operational satellite/earth observation data integration capability with defined ownership and partial coverage; adoption or interoperability gaps remain.</t>
  </si>
  <si>
    <t xml:space="preserve">Scaled and funded satellite/earth observation data integration capability, with accountable governance, interoperability and broad use.</t>
  </si>
  <si>
    <t xml:space="preserve">Institutionalized, inclusive and resilient satellite/earth observation data integration capability, continuously improved and supported by verified outcomes.</t>
  </si>
  <si>
    <t xml:space="preserve">No credible national soil map/database capability, or isolated informal activity only.</t>
  </si>
  <si>
    <t xml:space="preserve">Pilot or ad hoc national soil map/database; narrow coverage, unclear ownership or donor dependence.</t>
  </si>
  <si>
    <t xml:space="preserve">Operational national soil map/database with defined ownership and partial coverage; adoption or interoperability gaps remain.</t>
  </si>
  <si>
    <t xml:space="preserve">Scaled and funded national soil map/database, with accountable governance, interoperability and broad use.</t>
  </si>
  <si>
    <t xml:space="preserve">Institutionalized, inclusive and resilient national soil map/database, continuously improved and supported by verified outcomes.</t>
  </si>
  <si>
    <t xml:space="preserve">No credible digital agricultural market/e-commerce platforms capability, or isolated informal activity only.</t>
  </si>
  <si>
    <t xml:space="preserve">Pilot or ad hoc digital agricultural market/e-commerce platforms; narrow coverage, unclear ownership or donor dependence.</t>
  </si>
  <si>
    <t xml:space="preserve">Operational digital agricultural market/e-commerce platforms with defined ownership and partial coverage; adoption or interoperability gaps remain.</t>
  </si>
  <si>
    <t xml:space="preserve">Scaled and funded digital agricultural market/e-commerce platforms, with accountable governance, interoperability and broad use.</t>
  </si>
  <si>
    <t xml:space="preserve">Institutionalized, inclusive and resilient digital agricultural market/e-commerce platforms, continuously improved and supported by verified outcomes.</t>
  </si>
  <si>
    <t xml:space="preserve">No credible interoperability standards for agricultural data capability, or isolated informal activity only.</t>
  </si>
  <si>
    <t xml:space="preserve">Pilot or ad hoc interoperability standards for agricultural data; narrow coverage, unclear ownership or donor dependence.</t>
  </si>
  <si>
    <t xml:space="preserve">Operational interoperability standards for agricultural data with defined ownership and partial coverage; adoption or interoperability gaps remain.</t>
  </si>
  <si>
    <t xml:space="preserve">Scaled and funded interoperability standards for agricultural data, with accountable governance, interoperability and broad use.</t>
  </si>
  <si>
    <t xml:space="preserve">Institutionalized, inclusive and resilient interoperability standards for agricultural data, continuously improved and supported by verified outcomes.</t>
  </si>
  <si>
    <t xml:space="preserve">No credible ai-ready agricultural datasets capability, or isolated informal activity only.</t>
  </si>
  <si>
    <t xml:space="preserve">Pilot or ad hoc ai-ready agricultural datasets; narrow coverage, unclear ownership or donor dependence.</t>
  </si>
  <si>
    <t xml:space="preserve">Operational ai-ready agricultural datasets with defined ownership and partial coverage; adoption or interoperability gaps remain.</t>
  </si>
  <si>
    <t xml:space="preserve">Scaled and funded ai-ready agricultural datasets, with accountable governance, interoperability and broad use.</t>
  </si>
  <si>
    <t xml:space="preserve">Institutionalized, inclusive and resilient ai-ready agricultural datasets, continuously improved and supported by verified outcomes.</t>
  </si>
  <si>
    <t xml:space="preserve">No credible data protection/privacy law capability, or isolated informal activity only.</t>
  </si>
  <si>
    <t xml:space="preserve">Pilot or ad hoc data protection/privacy law; narrow coverage, unclear ownership or donor dependence.</t>
  </si>
  <si>
    <t xml:space="preserve">Operational data protection/privacy law with defined ownership and partial coverage; adoption or interoperability gaps remain.</t>
  </si>
  <si>
    <t xml:space="preserve">Scaled and funded data protection/privacy law, with accountable governance, interoperability and broad use.</t>
  </si>
  <si>
    <t xml:space="preserve">Institutionalized, inclusive and resilient data protection/privacy law, continuously improved and supported by verified outcomes.</t>
  </si>
  <si>
    <t xml:space="preserve">No credible national digital agriculture strategy capability, or isolated informal activity only.</t>
  </si>
  <si>
    <t xml:space="preserve">Pilot or ad hoc national digital agriculture strategy; narrow coverage, unclear ownership or donor dependence.</t>
  </si>
  <si>
    <t xml:space="preserve">Operational national digital agriculture strategy with defined ownership and partial coverage; adoption or interoperability gaps remain.</t>
  </si>
  <si>
    <t xml:space="preserve">Scaled and funded national digital agriculture strategy, with accountable governance, interoperability and broad use.</t>
  </si>
  <si>
    <t xml:space="preserve">Institutionalized, inclusive and resilient national digital agriculture strategy, continuously improved and supported by verified outcomes.</t>
  </si>
  <si>
    <t xml:space="preserve">No credible agricultural data governance framework capability, or isolated informal activity only.</t>
  </si>
  <si>
    <t xml:space="preserve">Pilot or ad hoc agricultural data governance framework; narrow coverage, unclear ownership or donor dependence.</t>
  </si>
  <si>
    <t xml:space="preserve">Operational agricultural data governance framework with defined ownership and partial coverage; adoption or interoperability gaps remain.</t>
  </si>
  <si>
    <t xml:space="preserve">Scaled and funded agricultural data governance framework, with accountable governance, interoperability and broad use.</t>
  </si>
  <si>
    <t xml:space="preserve">Institutionalized, inclusive and resilient agricultural data governance framework, continuously improved and supported by verified outcomes.</t>
  </si>
  <si>
    <t xml:space="preserve">No credible national ai strategy with agriculture component capability, or isolated informal activity only.</t>
  </si>
  <si>
    <t xml:space="preserve">Pilot or ad hoc national ai strategy with agriculture component; narrow coverage, unclear ownership or donor dependence.</t>
  </si>
  <si>
    <t xml:space="preserve">Operational national ai strategy with agriculture component with defined ownership and partial coverage; adoption or interoperability gaps remain.</t>
  </si>
  <si>
    <t xml:space="preserve">Scaled and funded national ai strategy with agriculture component, with accountable governance, interoperability and broad use.</t>
  </si>
  <si>
    <t xml:space="preserve">Institutionalized, inclusive and resilient national ai strategy with agriculture component, continuously improved and supported by verified outcomes.</t>
  </si>
  <si>
    <t xml:space="preserve">No credible data sovereignty provisions for agricultural data capability, or isolated informal activity only.</t>
  </si>
  <si>
    <t xml:space="preserve">Pilot or ad hoc data sovereignty provisions for agricultural data; narrow coverage, unclear ownership or donor dependence.</t>
  </si>
  <si>
    <t xml:space="preserve">Operational data sovereignty provisions for agricultural data with defined ownership and partial coverage; adoption or interoperability gaps remain.</t>
  </si>
  <si>
    <t xml:space="preserve">Scaled and funded data sovereignty provisions for agricultural data, with accountable governance, interoperability and broad use.</t>
  </si>
  <si>
    <t xml:space="preserve">Institutionalized, inclusive and resilient data sovereignty provisions for agricultural data, continuously improved and supported by verified outcomes.</t>
  </si>
  <si>
    <t xml:space="preserve">No credible inter-ministerial coordination mechanism for digital agriculture capability, or isolated informal activity only.</t>
  </si>
  <si>
    <t xml:space="preserve">Pilot or ad hoc inter-ministerial coordination mechanism for digital agriculture; narrow coverage, unclear ownership or donor dependence.</t>
  </si>
  <si>
    <t xml:space="preserve">Operational inter-ministerial coordination mechanism for digital agriculture with defined ownership and partial coverage; adoption or interoperability gaps remain.</t>
  </si>
  <si>
    <t xml:space="preserve">Scaled and funded inter-ministerial coordination mechanism for digital agriculture, with accountable governance, interoperability and broad use.</t>
  </si>
  <si>
    <t xml:space="preserve">Institutionalized, inclusive and resilient inter-ministerial coordination mechanism for digital agriculture, continuously improved and supported by verified outcomes.</t>
  </si>
  <si>
    <t xml:space="preserve">No credible competition/antitrust framework for digital agricultural markets capability, or isolated informal activity only.</t>
  </si>
  <si>
    <t xml:space="preserve">Pilot or ad hoc competition/antitrust framework for digital agricultural markets; narrow coverage, unclear ownership or donor dependence.</t>
  </si>
  <si>
    <t xml:space="preserve">Operational competition/antitrust framework for digital agricultural markets with defined ownership and partial coverage; adoption or interoperability gaps remain.</t>
  </si>
  <si>
    <t xml:space="preserve">Scaled and funded competition/antitrust framework for digital agricultural markets, with accountable governance, interoperability and broad use.</t>
  </si>
  <si>
    <t xml:space="preserve">Institutionalized, inclusive and resilient competition/antitrust framework for digital agricultural markets, continuously improved and supported by verified outcomes.</t>
  </si>
  <si>
    <t xml:space="preserve">No credible public procurement rules enabling digital agriculture innovation capability, or isolated informal activity only.</t>
  </si>
  <si>
    <t xml:space="preserve">Pilot or ad hoc public procurement rules enabling digital agriculture innovation; narrow coverage, unclear ownership or donor dependence.</t>
  </si>
  <si>
    <t xml:space="preserve">Operational public procurement rules enabling digital agriculture innovation with defined ownership and partial coverage; adoption or interoperability gaps remain.</t>
  </si>
  <si>
    <t xml:space="preserve">Scaled and funded public procurement rules enabling digital agriculture innovation, with accountable governance, interoperability and broad use.</t>
  </si>
  <si>
    <t xml:space="preserve">Institutionalized, inclusive and resilient public procurement rules enabling digital agriculture innovation, continuously improved and supported by verified outcomes.</t>
  </si>
  <si>
    <t xml:space="preserve">No credible spectrum allocation for rural/agricultural iot capability, or isolated informal activity only.</t>
  </si>
  <si>
    <t xml:space="preserve">Pilot or ad hoc spectrum allocation for rural/agricultural iot; narrow coverage, unclear ownership or donor dependence.</t>
  </si>
  <si>
    <t xml:space="preserve">Operational spectrum allocation for rural/agricultural iot with defined ownership and partial coverage; adoption or interoperability gaps remain.</t>
  </si>
  <si>
    <t xml:space="preserve">Scaled and funded spectrum allocation for rural/agricultural iot, with accountable governance, interoperability and broad use.</t>
  </si>
  <si>
    <t xml:space="preserve">Institutionalized, inclusive and resilient spectrum allocation for rural/agricultural iot, continuously improved and supported by verified outcomes.</t>
  </si>
  <si>
    <t xml:space="preserve">No credible responsible ai principles/guidelines for agriculture capability, or isolated informal activity only.</t>
  </si>
  <si>
    <t xml:space="preserve">Pilot or ad hoc responsible ai principles/guidelines for agriculture; narrow coverage, unclear ownership or donor dependence.</t>
  </si>
  <si>
    <t xml:space="preserve">Operational responsible ai principles/guidelines for agriculture with defined ownership and partial coverage; adoption or interoperability gaps remain.</t>
  </si>
  <si>
    <t xml:space="preserve">Scaled and funded responsible ai principles/guidelines for agriculture, with accountable governance, interoperability and broad use.</t>
  </si>
  <si>
    <t xml:space="preserve">Institutionalized, inclusive and resilient responsible ai principles/guidelines for agriculture, continuously improved and supported by verified outcomes.</t>
  </si>
  <si>
    <t xml:space="preserve">&lt; 4</t>
  </si>
  <si>
    <t xml:space="preserve">4 to &lt; 6</t>
  </si>
  <si>
    <t xml:space="preserve">6 to &lt; 8</t>
  </si>
  <si>
    <t xml:space="preserve">8 to &lt; 10</t>
  </si>
  <si>
    <t xml:space="preserve">&gt;= 10</t>
  </si>
  <si>
    <t xml:space="preserve">&lt; 50</t>
  </si>
  <si>
    <t xml:space="preserve">50 to &lt; 65</t>
  </si>
  <si>
    <t xml:space="preserve">65 to &lt; 80</t>
  </si>
  <si>
    <t xml:space="preserve">80 to &lt; 90</t>
  </si>
  <si>
    <t xml:space="preserve">&gt;= 90</t>
  </si>
  <si>
    <t xml:space="preserve">&lt; 10</t>
  </si>
  <si>
    <t xml:space="preserve">10 to &lt; 20</t>
  </si>
  <si>
    <t xml:space="preserve">20 to &lt; 30</t>
  </si>
  <si>
    <t xml:space="preserve">30 to &lt; 40</t>
  </si>
  <si>
    <t xml:space="preserve">&gt;= 40</t>
  </si>
  <si>
    <t xml:space="preserve">25 to &lt; 50</t>
  </si>
  <si>
    <t xml:space="preserve">50 to &lt; 75</t>
  </si>
  <si>
    <t xml:space="preserve">&gt;= 75</t>
  </si>
  <si>
    <t xml:space="preserve">No credible farmer-to-digital-extension-worker ratio capability, or isolated informal activity only.</t>
  </si>
  <si>
    <t xml:space="preserve">Pilot or ad hoc farmer-to-digital-extension-worker ratio; narrow coverage, unclear ownership or donor dependence.</t>
  </si>
  <si>
    <t xml:space="preserve">Operational farmer-to-digital-extension-worker ratio with defined ownership and partial coverage; adoption or interoperability gaps remain.</t>
  </si>
  <si>
    <t xml:space="preserve">Scaled and funded farmer-to-digital-extension-worker ratio, with accountable governance, interoperability and broad use.</t>
  </si>
  <si>
    <t xml:space="preserve">Institutionalized, inclusive and resilient farmer-to-digital-extension-worker ratio, continuously improved and supported by verified outcomes.</t>
  </si>
  <si>
    <t xml:space="preserve">No credible dedicated digital/ai units in ministry of agriculture capability, or isolated informal activity only.</t>
  </si>
  <si>
    <t xml:space="preserve">Pilot or ad hoc dedicated digital/ai units in ministry of agriculture; narrow coverage, unclear ownership or donor dependence.</t>
  </si>
  <si>
    <t xml:space="preserve">Operational dedicated digital/ai units in ministry of agriculture with defined ownership and partial coverage; adoption or interoperability gaps remain.</t>
  </si>
  <si>
    <t xml:space="preserve">Scaled and funded dedicated digital/ai units in ministry of agriculture, with accountable governance, interoperability and broad use.</t>
  </si>
  <si>
    <t xml:space="preserve">Institutionalized, inclusive and resilient dedicated digital/ai units in ministry of agriculture, continuously improved and supported by verified outcomes.</t>
  </si>
  <si>
    <t xml:space="preserve">No credible university programs in agtech/digital agriculture capability, or isolated informal activity only.</t>
  </si>
  <si>
    <t xml:space="preserve">Pilot or ad hoc university programs in agtech/digital agriculture; narrow coverage, unclear ownership or donor dependence.</t>
  </si>
  <si>
    <t xml:space="preserve">Operational university programs in agtech/digital agriculture with defined ownership and partial coverage; adoption or interoperability gaps remain.</t>
  </si>
  <si>
    <t xml:space="preserve">Scaled and funded university programs in agtech/digital agriculture, with accountable governance, interoperability and broad use.</t>
  </si>
  <si>
    <t xml:space="preserve">Institutionalized, inclusive and resilient university programs in agtech/digital agriculture, continuously improved and supported by verified outcomes.</t>
  </si>
  <si>
    <t xml:space="preserve">No credible data science/ai training programs for agriculture capability, or isolated informal activity only.</t>
  </si>
  <si>
    <t xml:space="preserve">Pilot or ad hoc data science/ai training programs for agriculture; narrow coverage, unclear ownership or donor dependence.</t>
  </si>
  <si>
    <t xml:space="preserve">Operational data science/ai training programs for agriculture with defined ownership and partial coverage; adoption or interoperability gaps remain.</t>
  </si>
  <si>
    <t xml:space="preserve">Scaled and funded data science/ai training programs for agriculture, with accountable governance, interoperability and broad use.</t>
  </si>
  <si>
    <t xml:space="preserve">Institutionalized, inclusive and resilient data science/ai training programs for agriculture, continuously improved and supported by verified outcomes.</t>
  </si>
  <si>
    <t xml:space="preserve">&gt;= 20</t>
  </si>
  <si>
    <t xml:space="preserve">No credible institutional digital maturity of key agricultural agencies capability, or isolated informal activity only.</t>
  </si>
  <si>
    <t xml:space="preserve">Pilot or ad hoc institutional digital maturity of key agricultural agencies; narrow coverage, unclear ownership or donor dependence.</t>
  </si>
  <si>
    <t xml:space="preserve">Operational institutional digital maturity of key agricultural agencies with defined ownership and partial coverage; adoption or interoperability gaps remain.</t>
  </si>
  <si>
    <t xml:space="preserve">Scaled and funded institutional digital maturity of key agricultural agencies, with accountable governance, interoperability and broad use.</t>
  </si>
  <si>
    <t xml:space="preserve">Institutionalized, inclusive and resilient institutional digital maturity of key agricultural agencies, continuously improved and supported by verified outcomes.</t>
  </si>
  <si>
    <t xml:space="preserve">20 to &lt; 35</t>
  </si>
  <si>
    <t xml:space="preserve">35 to &lt; 45</t>
  </si>
  <si>
    <t xml:space="preserve">45 to &lt; 50</t>
  </si>
  <si>
    <t xml:space="preserve">&gt;= 50</t>
  </si>
  <si>
    <t xml:space="preserve">&lt; 25</t>
  </si>
  <si>
    <t xml:space="preserve">25 to &lt; 35</t>
  </si>
  <si>
    <t xml:space="preserve">45 to &lt; 55</t>
  </si>
  <si>
    <t xml:space="preserve">&gt;= 55</t>
  </si>
  <si>
    <t xml:space="preserve">&lt; 0.1</t>
  </si>
  <si>
    <t xml:space="preserve">0.1 to &lt; 0.5</t>
  </si>
  <si>
    <t xml:space="preserve">0.5 to &lt; 1</t>
  </si>
  <si>
    <t xml:space="preserve">1 to &lt; 2</t>
  </si>
  <si>
    <t xml:space="preserve">&gt;= 2</t>
  </si>
  <si>
    <t xml:space="preserve">&lt; 30</t>
  </si>
  <si>
    <t xml:space="preserve">30 to &lt; 45</t>
  </si>
  <si>
    <t xml:space="preserve">45 to &lt; 60</t>
  </si>
  <si>
    <t xml:space="preserve">60 to &lt; 75</t>
  </si>
  <si>
    <t xml:space="preserve">No credible active agtech startups/firms capability, or isolated informal activity only.</t>
  </si>
  <si>
    <t xml:space="preserve">Pilot or ad hoc active agtech startups/firms; narrow coverage, unclear ownership or donor dependence.</t>
  </si>
  <si>
    <t xml:space="preserve">Operational active agtech startups/firms with defined ownership and partial coverage; adoption or interoperability gaps remain.</t>
  </si>
  <si>
    <t xml:space="preserve">Scaled and funded active agtech startups/firms, with accountable governance, interoperability and broad use.</t>
  </si>
  <si>
    <t xml:space="preserve">Institutionalized, inclusive and resilient active agtech startups/firms, continuously improved and supported by verified outcomes.</t>
  </si>
  <si>
    <t xml:space="preserve">No credible venture capital/investment in agtech capability, or isolated informal activity only.</t>
  </si>
  <si>
    <t xml:space="preserve">Pilot or ad hoc venture capital/investment in agtech; narrow coverage, unclear ownership or donor dependence.</t>
  </si>
  <si>
    <t xml:space="preserve">Operational venture capital/investment in agtech with defined ownership and partial coverage; adoption or interoperability gaps remain.</t>
  </si>
  <si>
    <t xml:space="preserve">Scaled and funded venture capital/investment in agtech, with accountable governance, interoperability and broad use.</t>
  </si>
  <si>
    <t xml:space="preserve">Institutionalized, inclusive and resilient venture capital/investment in agtech, continuously improved and supported by verified outcomes.</t>
  </si>
  <si>
    <t xml:space="preserve">No credible agtech accelerators/incubators capability, or isolated informal activity only.</t>
  </si>
  <si>
    <t xml:space="preserve">Pilot or ad hoc agtech accelerators/incubators; narrow coverage, unclear ownership or donor dependence.</t>
  </si>
  <si>
    <t xml:space="preserve">Operational agtech accelerators/incubators with defined ownership and partial coverage; adoption or interoperability gaps remain.</t>
  </si>
  <si>
    <t xml:space="preserve">Scaled and funded agtech accelerators/incubators, with accountable governance, interoperability and broad use.</t>
  </si>
  <si>
    <t xml:space="preserve">Institutionalized, inclusive and resilient agtech accelerators/incubators, continuously improved and supported by verified outcomes.</t>
  </si>
  <si>
    <t xml:space="preserve">&lt; 5</t>
  </si>
  <si>
    <t xml:space="preserve">5 to &lt; 15</t>
  </si>
  <si>
    <t xml:space="preserve">15 to &lt; 30</t>
  </si>
  <si>
    <t xml:space="preserve">30 to &lt; 50</t>
  </si>
  <si>
    <t xml:space="preserve">No credible regulatory sandboxes for agtech/fintech capability, or isolated informal activity only.</t>
  </si>
  <si>
    <t xml:space="preserve">Pilot or ad hoc regulatory sandboxes for agtech/fintech; narrow coverage, unclear ownership or donor dependence.</t>
  </si>
  <si>
    <t xml:space="preserve">Operational regulatory sandboxes for agtech/fintech with defined ownership and partial coverage; adoption or interoperability gaps remain.</t>
  </si>
  <si>
    <t xml:space="preserve">Scaled and funded regulatory sandboxes for agtech/fintech, with accountable governance, interoperability and broad use.</t>
  </si>
  <si>
    <t xml:space="preserve">Institutionalized, inclusive and resilient regulatory sandboxes for agtech/fintech, continuously improved and supported by verified outcomes.</t>
  </si>
  <si>
    <t xml:space="preserve">No credible public-private partnerships in digital agriculture capability, or isolated informal activity only.</t>
  </si>
  <si>
    <t xml:space="preserve">Pilot or ad hoc public-private partnerships in digital agriculture; narrow coverage, unclear ownership or donor dependence.</t>
  </si>
  <si>
    <t xml:space="preserve">Operational public-private partnerships in digital agriculture with defined ownership and partial coverage; adoption or interoperability gaps remain.</t>
  </si>
  <si>
    <t xml:space="preserve">Scaled and funded public-private partnerships in digital agriculture, with accountable governance, interoperability and broad use.</t>
  </si>
  <si>
    <t xml:space="preserve">Institutionalized, inclusive and resilient public-private partnerships in digital agriculture, continuously improved and supported by verified outcomes.</t>
  </si>
  <si>
    <t xml:space="preserve">No credible government grants/funding for agtech innovation capability, or isolated informal activity only.</t>
  </si>
  <si>
    <t xml:space="preserve">Pilot or ad hoc government grants/funding for agtech innovation; narrow coverage, unclear ownership or donor dependence.</t>
  </si>
  <si>
    <t xml:space="preserve">Operational government grants/funding for agtech innovation with defined ownership and partial coverage; adoption or interoperability gaps remain.</t>
  </si>
  <si>
    <t xml:space="preserve">Scaled and funded government grants/funding for agtech innovation, with accountable governance, interoperability and broad use.</t>
  </si>
  <si>
    <t xml:space="preserve">Institutionalized, inclusive and resilient government grants/funding for agtech innovation, continuously improved and supported by verified outcomes.</t>
  </si>
  <si>
    <t xml:space="preserve">No credible digital financial services platforms for agriculture capability, or isolated informal activity only.</t>
  </si>
  <si>
    <t xml:space="preserve">Pilot or ad hoc digital financial services platforms for agriculture; narrow coverage, unclear ownership or donor dependence.</t>
  </si>
  <si>
    <t xml:space="preserve">Operational digital financial services platforms for agriculture with defined ownership and partial coverage; adoption or interoperability gaps remain.</t>
  </si>
  <si>
    <t xml:space="preserve">Scaled and funded digital financial services platforms for agriculture, with accountable governance, interoperability and broad use.</t>
  </si>
  <si>
    <t xml:space="preserve">Institutionalized, inclusive and resilient digital financial services platforms for agriculture, continuously improved and supported by verified outcomes.</t>
  </si>
  <si>
    <t xml:space="preserve">No credible digital public goods adopted in agriculture capability, or isolated informal activity only.</t>
  </si>
  <si>
    <t xml:space="preserve">Pilot or ad hoc digital public goods adopted in agriculture; narrow coverage, unclear ownership or donor dependence.</t>
  </si>
  <si>
    <t xml:space="preserve">Operational digital public goods adopted in agriculture with defined ownership and partial coverage; adoption or interoperability gaps remain.</t>
  </si>
  <si>
    <t xml:space="preserve">Scaled and funded digital public goods adopted in agriculture, with accountable governance, interoperability and broad use.</t>
  </si>
  <si>
    <t xml:space="preserve">Institutionalized, inclusive and resilient digital public goods adopted in agriculture, continuously improved and supported by verified outcomes.</t>
  </si>
  <si>
    <t xml:space="preserve">&lt; 1</t>
  </si>
  <si>
    <t xml:space="preserve">1 to &lt; 5</t>
  </si>
  <si>
    <t xml:space="preserve">5 to &lt; 20</t>
  </si>
  <si>
    <t xml:space="preserve">20 to &lt; 50</t>
  </si>
  <si>
    <t xml:space="preserve">No credible ai systems deployed in public agricultural sector capability, or isolated informal activity only.</t>
  </si>
  <si>
    <t xml:space="preserve">Pilot or ad hoc ai systems deployed in public agricultural sector; narrow coverage, unclear ownership or donor dependence.</t>
  </si>
  <si>
    <t xml:space="preserve">Operational ai systems deployed in public agricultural sector with defined ownership and partial coverage; adoption or interoperability gaps remain.</t>
  </si>
  <si>
    <t xml:space="preserve">Scaled and funded ai systems deployed in public agricultural sector, with accountable governance, interoperability and broad use.</t>
  </si>
  <si>
    <t xml:space="preserve">Institutionalized, inclusive and resilient ai systems deployed in public agricultural sector, continuously improved and supported by verified outcomes.</t>
  </si>
  <si>
    <t xml:space="preserve">2 to &lt; 10</t>
  </si>
  <si>
    <t xml:space="preserve">No credible ai talent in agriculture sector capability, or isolated informal activity only.</t>
  </si>
  <si>
    <t xml:space="preserve">Pilot or ad hoc ai talent in agriculture sector; narrow coverage, unclear ownership or donor dependence.</t>
  </si>
  <si>
    <t xml:space="preserve">Operational ai talent in agriculture sector with defined ownership and partial coverage; adoption or interoperability gaps remain.</t>
  </si>
  <si>
    <t xml:space="preserve">Scaled and funded ai talent in agriculture sector, with accountable governance, interoperability and broad use.</t>
  </si>
  <si>
    <t xml:space="preserve">Institutionalized, inclusive and resilient ai talent in agriculture sector, continuously improved and supported by verified outcomes.</t>
  </si>
  <si>
    <t xml:space="preserve">No security ownership, policy or incident response for agricultural digital systems; national CERT does not cover the sector.</t>
  </si>
  <si>
    <t xml:space="preserve">Generic national framework exists on paper; no agricultural system has a completed security assessment or a named security owner.</t>
  </si>
  <si>
    <t xml:space="preserve">Major agricultural systems have named security owners and at least one completed assessment or audit; incident response remains ad hoc; farmer-data systems are not prioritized.</t>
  </si>
  <si>
    <t xml:space="preserve">Sector systems are covered by CERT / incident-response arrangements, periodic audits and access controls; tested backups and a breach-notification duty are evidenced.</t>
  </si>
  <si>
    <t xml:space="preserve">Institutionalized sector security programme: recurring audits, monitored incidents with recorded lessons, farmer-data systems classified as protected assets, funded security budget.</t>
  </si>
  <si>
    <t xml:space="preserve">No disclosure that AI is used in farmer-facing services; no documentation exists.</t>
  </si>
  <si>
    <t xml:space="preserve">AI use is acknowledged but there is no farmer-facing explanation and no documentation of model purpose or limits.</t>
  </si>
  <si>
    <t xml:space="preserve">Major AI services publish plain-language descriptions of purpose, inputs and limitations; no independent review has occurred.</t>
  </si>
  <si>
    <t xml:space="preserve">Documented model descriptions exist for deployed systems; advisories flag uncertainty; at least one independent review has been performed.</t>
  </si>
  <si>
    <t xml:space="preserve">A sector standard requires explainability for farmer-affecting AI decisions, with audited compliance and accessible explanations in local languages.</t>
  </si>
  <si>
    <t xml:space="preserve">No consideration of bias or exclusion in agricultural AI or digital targeting systems.</t>
  </si>
  <si>
    <t xml:space="preserve">Bias is acknowledged as a risk; nothing is measured.</t>
  </si>
  <si>
    <t xml:space="preserve">At least one deployed system has been tested for differential accuracy or coverage across regions, gender or farm types, with findings documented.</t>
  </si>
  <si>
    <t xml:space="preserve">Routine disaggregated performance monitoring for major systems, with corrective actions recorded.</t>
  </si>
  <si>
    <t xml:space="preserve">Mandatory pre-deployment bias assessment plus ongoing monitoring with published results and redress where harm is found.</t>
  </si>
  <si>
    <t xml:space="preserve">Farmer data is used without a consent basis; no data-rights framework exists.</t>
  </si>
  <si>
    <t xml:space="preserve">Consent is collected pro forma (unexplained tick-box); access, correction or deletion rights do not work in practice.</t>
  </si>
  <si>
    <t xml:space="preserve">Clear consent at registration for stated purposes; farmers can access their records; rights are partly exercised in practice.</t>
  </si>
  <si>
    <t xml:space="preserve">Purpose limitation, consent management, and working access / correction / portability channels are evidenced by usage records.</t>
  </si>
  <si>
    <t xml:space="preserve">Enforceable farmer data rights with independent oversight, audited consent practices, and demonstrated remedies.</t>
  </si>
  <si>
    <t xml:space="preserve">&gt; 25</t>
  </si>
  <si>
    <t xml:space="preserve">&gt; 15 to &lt;= 25</t>
  </si>
  <si>
    <t xml:space="preserve">&gt; 7.5 to &lt;= 15</t>
  </si>
  <si>
    <t xml:space="preserve">&gt; 2.5 to &lt;= 7.5</t>
  </si>
  <si>
    <t xml:space="preserve">&lt;= 2.5</t>
  </si>
  <si>
    <t xml:space="preserve">&gt; 8 to &lt;= 15</t>
  </si>
  <si>
    <t xml:space="preserve">&gt; 3 to &lt;= 8</t>
  </si>
  <si>
    <t xml:space="preserve">&lt;= 3</t>
  </si>
  <si>
    <t xml:space="preserve">25 to &lt; 40</t>
  </si>
  <si>
    <t xml:space="preserve">40 to &lt; 50</t>
  </si>
  <si>
    <t xml:space="preserve">&gt; 20</t>
  </si>
  <si>
    <t xml:space="preserve">&gt; 10 to &lt;= 20</t>
  </si>
  <si>
    <t xml:space="preserve">&lt;= 2</t>
  </si>
  <si>
    <t xml:space="preserve">75 to &lt; 90</t>
  </si>
  <si>
    <t xml:space="preserve">No evidence of yield effects from digital tools.</t>
  </si>
  <si>
    <t xml:space="preserve">Vendor or self-reported claims only.</t>
  </si>
  <si>
    <t xml:space="preserve">Independent descriptive study (before/after or cross-section) without a counterfactual.</t>
  </si>
  <si>
    <t xml:space="preserve">Credible quasi-experimental or contribution analysis for at least one major service.</t>
  </si>
  <si>
    <t xml:space="preserve">Counterfactual evidence replicated across seasons, regions or multiple services.</t>
  </si>
  <si>
    <t xml:space="preserve">No evidence of income effects from digital tools.</t>
  </si>
  <si>
    <t xml:space="preserve">Name</t>
  </si>
  <si>
    <t xml:space="preserve">Weight</t>
  </si>
  <si>
    <t xml:space="preserve">Aggregated</t>
  </si>
  <si>
    <t xml:space="preserve">Agricultural context &amp; need</t>
  </si>
  <si>
    <t xml:space="preserve">No — context only</t>
  </si>
  <si>
    <t xml:space="preserve">Connectivity &amp; affordable access</t>
  </si>
  <si>
    <t xml:space="preserve">Yes</t>
  </si>
  <si>
    <t xml:space="preserve">Data infrastructure &amp; DPI</t>
  </si>
  <si>
    <t xml:space="preserve">Policy, governance &amp; safeguards</t>
  </si>
  <si>
    <t xml:space="preserve">Human &amp; institutional capacity</t>
  </si>
  <si>
    <t xml:space="preserve">Innovation &amp; private sector</t>
  </si>
  <si>
    <t xml:space="preserve">Responsible AI &amp; emerging tech</t>
  </si>
  <si>
    <t xml:space="preserve">Inclusion, sustainability &amp; outcomes</t>
  </si>
  <si>
    <t xml:space="preserve">Total</t>
  </si>
  <si>
    <t xml:space="preserve">Weights sum to 1.00 within each role family</t>
  </si>
  <si>
    <t xml:space="preserve">Capability (C1-C4)</t>
  </si>
  <si>
    <t xml:space="preserve">Ecosystem (E1-E2)</t>
  </si>
  <si>
    <t xml:space="preserve">Outcome (O1)</t>
  </si>
  <si>
    <t xml:space="preserve">C0 carries no weight: it is context and is never aggregated.</t>
  </si>
  <si>
    <t xml:space="preserve">Why it gates</t>
  </si>
  <si>
    <t xml:space="preserve">Prerequisite: at Level 1 it caps the overall stage at Stage 1; unmeasured, it suppresses the stage entirely.</t>
  </si>
  <si>
    <t xml:space="preserve">Score bands (applied to every pillar score and to CMS, EMS and OES)</t>
  </si>
  <si>
    <t xml:space="preserve">Level</t>
  </si>
  <si>
    <t xml:space="preserve">Band</t>
  </si>
  <si>
    <t xml:space="preserve">From</t>
  </si>
  <si>
    <t xml:space="preserve">To</t>
  </si>
  <si>
    <t xml:space="preserve">Nascent</t>
  </si>
  <si>
    <t xml:space="preserve">Emerging</t>
  </si>
  <si>
    <t xml:space="preserve">Established</t>
  </si>
  <si>
    <t xml:space="preserve">Advanced</t>
  </si>
  <si>
    <t xml:space="preserve">Transformative</t>
  </si>
  <si>
    <t xml:space="preserve">Coverage gates — below these, a score is suppressed rather than computed</t>
  </si>
  <si>
    <t xml:space="preserve">Rule</t>
  </si>
  <si>
    <t xml:space="preserve">Threshold</t>
  </si>
  <si>
    <t xml:space="preserve">Meaning</t>
  </si>
  <si>
    <t xml:space="preserve">pillar_min</t>
  </si>
  <si>
    <t xml:space="preserve">A pillar reports Not rated unless this share of its indicators carry a level.</t>
  </si>
  <si>
    <t xml:space="preserve">cms_min</t>
  </si>
  <si>
    <t xml:space="preserve">Overall capability coverage required before any stage may be issued.</t>
  </si>
  <si>
    <t xml:space="preserve">ems_min</t>
  </si>
  <si>
    <t xml:space="preserve">Ecosystem coverage required before EMS is reported.</t>
  </si>
  <si>
    <t xml:space="preserve">evidence_adequacy_min</t>
  </si>
  <si>
    <t xml:space="preserve">Minimum evidence adequacy for the read-out to stand.</t>
  </si>
  <si>
    <t xml:space="preserve">Stage thresholds — the non-compensatory cascade</t>
  </si>
  <si>
    <t xml:space="preserve">stage2_cms</t>
  </si>
  <si>
    <t xml:space="preserve">Required to reach Stage 2 on CMS.</t>
  </si>
  <si>
    <t xml:space="preserve">stage3_cms</t>
  </si>
  <si>
    <t xml:space="preserve">Required to reach Stage 3 on CMS.</t>
  </si>
  <si>
    <t xml:space="preserve">stage3_ems</t>
  </si>
  <si>
    <t xml:space="preserve">Required to reach Stage 3 on EMS.</t>
  </si>
  <si>
    <t xml:space="preserve">stage4_cms</t>
  </si>
  <si>
    <t xml:space="preserve">Required to reach Stage 4 on CMS.</t>
  </si>
  <si>
    <t xml:space="preserve">stage4_ems</t>
  </si>
  <si>
    <t xml:space="preserve">Required to reach Stage 4 on EMS.</t>
  </si>
  <si>
    <t xml:space="preserve">stage4_oes</t>
  </si>
  <si>
    <t xml:space="preserve">Required to reach Stage 4 on OES.</t>
  </si>
  <si>
    <t xml:space="preserve">Confidence weights</t>
  </si>
  <si>
    <t xml:space="preserve">Confidence</t>
  </si>
  <si>
    <t xml:space="preserve">High</t>
  </si>
  <si>
    <t xml:space="preserve">Applied to the evidence behind a reading when adequacy is computed.</t>
  </si>
  <si>
    <t xml:space="preserve">Medium</t>
  </si>
  <si>
    <t xml:space="preserve">Low/Estimated</t>
  </si>
  <si>
    <t xml:space="preserve">Step</t>
  </si>
  <si>
    <t xml:space="preserve">Rung</t>
  </si>
  <si>
    <t xml:space="preserve">Decider</t>
  </si>
  <si>
    <t xml:space="preserve">Decision recorded</t>
  </si>
  <si>
    <t xml:space="preserve">Guidance</t>
  </si>
  <si>
    <t xml:space="preserve">T0</t>
  </si>
  <si>
    <t xml:space="preserve">Automated diagnostic</t>
  </si>
  <si>
    <t xml:space="preserve">machine</t>
  </si>
  <si>
    <t xml:space="preserve">The machine collects public evidence and routes named gaps to data stewards. Nothing here claims a maturity stage - it is an engagement package assembled for your Step 2 decision.</t>
  </si>
  <si>
    <t xml:space="preserve">D1</t>
  </si>
  <si>
    <t xml:space="preserve">Engage / mode / budget</t>
  </si>
  <si>
    <t xml:space="preserve">TTL</t>
  </si>
  <si>
    <t xml:space="preserve">Engage or defer; assessment mode; budget and team</t>
  </si>
  <si>
    <t xml:space="preserve">Decide whether to engage, in what assessment mode, and with what budget and team. The machine drafts the memo and frames the options; the decision - including the rejected alternatives - is yours and is recorded.</t>
  </si>
  <si>
    <t xml:space="preserve">D2</t>
  </si>
  <si>
    <t xml:space="preserve">Targeting hypotheses</t>
  </si>
  <si>
    <t xml:space="preserve">Chain shortlist and segmentation to propose to government</t>
  </si>
  <si>
    <t xml:space="preserve">Shortlist the value chains and segmentation to propose to government. Use the M1 targeting module in the exported workbook for the analysis; record the shortlist (and the chains you rejected) as the Step 3 decision.</t>
  </si>
  <si>
    <t xml:space="preserve">D3</t>
  </si>
  <si>
    <t xml:space="preserve">Evidence plan &amp; mission design</t>
  </si>
  <si>
    <t xml:space="preserve">TTL / management</t>
  </si>
  <si>
    <t xml:space="preserve">Evidence plan and mission design</t>
  </si>
  <si>
    <t xml:space="preserve">Plan how every unmeasured core gate and stale item will be evidenced, and design the mission. Each named gap already carries an authoritative steward route from Step 1.</t>
  </si>
  <si>
    <t xml:space="preserve">G</t>
  </si>
  <si>
    <t xml:space="preserve">Government gates</t>
  </si>
  <si>
    <t xml:space="preserve">Government</t>
  </si>
  <si>
    <t xml:space="preserve">Mandate letter; steering committee; endorsed chain selection</t>
  </si>
  <si>
    <t xml:space="preserve">Government decides: mandate letter, steering committee, endorsed chain selection. Nothing before this step carries a stage - the engagement-package rule holds until the mandate exists.</t>
  </si>
  <si>
    <t xml:space="preserve">D4</t>
  </si>
  <si>
    <t xml:space="preserve">Validated read-outs</t>
  </si>
  <si>
    <t xml:space="preserve">Evidence panel / steering committee</t>
  </si>
  <si>
    <t xml:space="preserve">Validated read-outs to the workshop</t>
  </si>
  <si>
    <t xml:space="preserve">The evidence panel validates the read-outs. Setting an assessor level converts machine imports to human-validated evidence; every core gate must be measured before a stage can be read out to the workshop.</t>
  </si>
  <si>
    <t xml:space="preserve">D5</t>
  </si>
  <si>
    <t xml:space="preserve">Portfolio scenario</t>
  </si>
  <si>
    <t xml:space="preserve">Steering committee (finance sign-off)</t>
  </si>
  <si>
    <t xml:space="preserve">Portfolio scenario and envelope</t>
  </si>
  <si>
    <t xml:space="preserve">Assemble the portfolio scenario and envelope with finance sign-off, using the workbook's investment appraisal (unit costs, inclusion and DPI gates).</t>
  </si>
  <si>
    <t xml:space="preserve">D6</t>
  </si>
  <si>
    <t xml:space="preserve">Adopt &amp; disclose</t>
  </si>
  <si>
    <t xml:space="preserve">Decision authority / government</t>
  </si>
  <si>
    <t xml:space="preserve">Adopt, disclose and version</t>
  </si>
  <si>
    <t xml:space="preserve">Adopt the DAR, disclose it, and version the record. Export and archive the final workbook as the auditable artefact.</t>
  </si>
  <si>
    <t xml:space="preserve">Term</t>
  </si>
  <si>
    <t xml:space="preserve">Short</t>
  </si>
  <si>
    <t xml:space="preserve">Definition</t>
  </si>
  <si>
    <t xml:space="preserve">CMS</t>
  </si>
  <si>
    <t xml:space="preserve">Capability Maturity Score</t>
  </si>
  <si>
    <t xml:space="preserve">Government capability, on the 1-5 level scale. Each of the four capability pillars (connectivity; data and DPI; policy and governance; human capacity) is the plain mean of the levels assigned within it, and CMS combines those four pillar scores using the pillar weights. It is reported only when every one of the four pillars has at least 60% of its indicators levelled; if any pillar falls short, CMS reads Not rated rather than being computed from a partial picture.</t>
  </si>
  <si>
    <t xml:space="preserve">EMS</t>
  </si>
  <si>
    <t xml:space="preserve">Ecosystem Maturity Score</t>
  </si>
  <si>
    <t xml:space="preserve">The same calculation over the two ecosystem pillars (innovation and private sector; responsible AI and emerging tech), describing the market and innovation environment around government capability. It too is suppressed unless both of its pillars clear 60% coverage.</t>
  </si>
  <si>
    <t xml:space="preserve">OES</t>
  </si>
  <si>
    <t xml:space="preserve">Outcome &amp; Equity Score</t>
  </si>
  <si>
    <t xml:space="preserve">Outcomes</t>
  </si>
  <si>
    <t xml:space="preserve">The read-out for the single outcomes pillar - inclusion, sustainability and realised results - so it is that pillar's own mean level, not a weighted blend. It is deliberately kept separate from capability: a country can build systems without yet moving outcomes, and the model refuses to average that away.</t>
  </si>
  <si>
    <t xml:space="preserve">Stage</t>
  </si>
  <si>
    <t xml:space="preserve">Maturity stage</t>
  </si>
  <si>
    <t xml:space="preserve">Overall stage</t>
  </si>
  <si>
    <t xml:space="preserve">The single overall read-out, running from Stage 1 (Foundation constrained) through Stage 2 (Capability building), Stage 3 (Ecosystem scaling) and Stage 4 (Integrated scale) to Stage 5 (Transformative &amp; inclusive). It is derived from CMS, EMS and OES together and is non-compensatory: a core gate at Level 1 caps it at Stage 1, an unmeasured core gate or thin capability evidence suppresses it entirely, and no stage is valid until human validation. Strength in one area cannot buy off a foundational weakness in another.</t>
  </si>
  <si>
    <t xml:space="preserve">Core gate indicators</t>
  </si>
  <si>
    <t xml:space="preserve">Foundational checks</t>
  </si>
  <si>
    <t xml:space="preserve">Thirteen foundational indicators - such as rural connectivity, a national farmer registry and cybersecurity capability - that the model treats as prerequisites rather than as points to be traded off. Any one of them at Level 1 caps the stage at Stage 1; any one left unmeasured means no stage can be claimed at all.</t>
  </si>
  <si>
    <t xml:space="preserve">Stale items</t>
  </si>
  <si>
    <t xml:space="preserve">Stale evidence</t>
  </si>
  <si>
    <t xml:space="preserve">Past their vintage</t>
  </si>
  <si>
    <t xml:space="preserve">Levelled indicators whose observation year is older than the maximum age this model allows for them - two years for most, three for the slower-moving ones. The count spans every pillar, including the C0 context profile. Each stale item needs a refresh or a recorded exception before the read-outs can be relied on.</t>
  </si>
  <si>
    <t xml:space="preserve">Coverage</t>
  </si>
  <si>
    <t xml:space="preserve">Coverage gate</t>
  </si>
  <si>
    <t xml:space="preserve">Evidence sufficiency</t>
  </si>
  <si>
    <t xml:space="preserve">The share of a pillar's indicators that carry an assigned level. Below 60% the pillar score is suppressed instead of computed, and any composite containing that pillar is suppressed with it - so a confident-looking number is never produced from thin evidence. A separate 70% capability-coverage threshold governs whether an overall stage may be issued at all.</t>
  </si>
  <si>
    <t xml:space="preserve">Provisional</t>
  </si>
  <si>
    <t xml:space="preserve">Provisional level</t>
  </si>
  <si>
    <t xml:space="preserve">Machine-suggested</t>
  </si>
  <si>
    <t xml:space="preserve">A level the machine derived from a threshold rule, not yet confirmed by an assessor. Provisional levels do feed the scores you see - in a Step 1 pack they are the only input - which is precisely why no stage is claimable until a human sets the assessor level at Step 6 and the reading becomes validated evidence.</t>
  </si>
  <si>
    <t xml:space="preserve">Engagement package</t>
  </si>
  <si>
    <t xml:space="preserve">Engagement-package rule</t>
  </si>
  <si>
    <t xml:space="preserve">Pre-mandate status</t>
  </si>
  <si>
    <t xml:space="preserve">Everything assembled before the government mandate (Step 5) is preparatory material for a Bank decision, not an assessment of the country. No maturity stage is claimable from it, however complete the evidence looks.</t>
  </si>
  <si>
    <t xml:space="preserve">Section</t>
  </si>
  <si>
    <t xml:space="preserve">Content</t>
  </si>
  <si>
    <t xml:space="preserve">purpose</t>
  </si>
  <si>
    <t xml:space="preserve">DAR Studio is a working prototype of the DAMM v1.3 methodology - the diagnostic that underpins a World Bank Digital Agriculture Roadmap. It assembles what public evidence can tell us about a country's digital-agriculture readiness, shows plainly what it cannot tell us, and carries a task team through the decisions that turn a diagnostic into a roadmap.</t>
  </si>
  <si>
    <t xml:space="preserve">not</t>
  </si>
  <si>
    <t xml:space="preserve">It is not an official World Bank system, not a country ranking, and not a scoring service. It produces a structured basis for professional judgement; it does not replace it. Every stage it displays is provisional until a human validates the evidence behind it.</t>
  </si>
  <si>
    <t xml:space="preserve">rules</t>
  </si>
  <si>
    <t xml:space="preserve">{"title": "Machines compute, humans gate", "text": "Everything mechanical - fetching public indicators, applying threshold rules, recomputing read-outs, drafting memo narratives - is automated. Everything consequential - whether to engage, which chains to target, what the evidence means, whether to adopt - is a human decision, recorded with the role that made it. Step 1 is the machine's own step and hands over to you when it finishes; from Step 2 onwards the ladder moves only when a human records the decision."}</t>
  </si>
  <si>
    <t xml:space="preserve">{"title": "Three read-outs, never one number", "text": "Capability, ecosystem and outcomes are reported separately and never averaged into a single index. A country can build strong systems before outcomes move, and a composite would hide exactly that gap - which is usually the finding that matters most for sequencing investment."}</t>
  </si>
  <si>
    <t xml:space="preserve">{"title": "Foundations are not tradeable", "text": "Thirteen core-gate indicators are treated as prerequisites, not as points. A core gate at Level 1 caps the overall stage regardless of strength elsewhere, because no amount of innovation activity compensates for absent rural connectivity or a missing farmer registry."}</t>
  </si>
  <si>
    <t xml:space="preserve">{"title": "Silence beats a confident guess", "text": "Where evidence is too thin, the model suppresses the score rather than computing one. A pillar below its coverage gate reads Not rated, and any composite containing it is suppressed too. An unmeasured core gate suppresses the stage entirely - so a gap can never be hidden by simply not measuring it."}</t>
  </si>
  <si>
    <t xml:space="preserve">{"title": "Evidence carries its provenance and its age", "text": "Every value records where it came from. Imported readings carry their source and observation year and are marked provisional until an assessor validates them; assessor judgements record the acting role and the time they were made. Where an observation year is present and older than this model allows for that indicator, the value is flagged stale until it is refreshed."}</t>
  </si>
  <si>
    <t xml:space="preserve">{"title": "Nothing before the mandate is an assessment", "text": "Work assembled before the government mandate is an engagement package - preparatory material for a Bank decision, not a judgement about the country. No maturity stage is claimable from it, however complete the evidence looks."}</t>
  </si>
  <si>
    <t xml:space="preserve">chain</t>
  </si>
  <si>
    <t xml:space="preserve">{"step": "Indicator", "text": "Each of the indicators carries a rubric: either numeric thresholds or a written anchor per level."}</t>
  </si>
  <si>
    <t xml:space="preserve">{"step": "Level", "text": "Evidence yields a level from 1 to 5 - machine-suggested from a threshold, or set by an assessor, who always wins. An indicator marked as a data gap contributes nothing."}</t>
  </si>
  <si>
    <t xml:space="preserve">{"step": "Pillar", "text": "A pillar score is the plain mean of the levels assigned within it - but only if enough of its indicators are levelled to clear the coverage gate."}</t>
  </si>
  <si>
    <t xml:space="preserve">{"step": "Composite", "text": "Capability combines its four pillar scores using the weights below; ecosystem combines its two; outcomes is a single pillar. If any member pillar is unrated, the composite is unrated."}</t>
  </si>
  <si>
    <t xml:space="preserve">{"step": "Stage", "text": "A non-compensatory cascade turns the three read-outs into one stage, applying the gate rules and coverage thresholds first - which is why a stage can be withheld even when scores exist."}</t>
  </si>
  <si>
    <t xml:space="preserve">provenance</t>
  </si>
  <si>
    <t xml:space="preserve">The methodology is defined in the DAMM v1.3 draft package (Framework Specification, Operator Guide, Workbook, and a Red Team &amp; Stress Test report that returned a conditional pass for pilot preparation). The app reads it from one versioned configuration file rather than scattering it through the code. The indicator census, rubrics, pillar weights, coverage gates and confidence weights are extracted directly from the workbook's cells; the level bands and stage thresholds are transcribed from it; and the decision ladder, the prohibitions and the wording on this page are authored in that same configuration. The non-compensatory stage cascade itself lives in the scoring engine, which is regression-tested against the Bhutan worked example - that test pins the worked example and the gate behaviours, not every possible combination.</t>
  </si>
  <si>
    <t xml:space="preserve">#</t>
  </si>
  <si>
    <t xml:space="preserve">Title</t>
  </si>
  <si>
    <t xml:space="preserve">Produced by</t>
  </si>
  <si>
    <t xml:space="preserve">Ready at step</t>
  </si>
  <si>
    <t xml:space="preserve">Note</t>
  </si>
  <si>
    <t xml:space="preserve">1</t>
  </si>
  <si>
    <t xml:space="preserve">Country and sector context</t>
  </si>
  <si>
    <t xml:space="preserve">Agricultural structure, need and climate risk; national digital context</t>
  </si>
  <si>
    <t xml:space="preserve">C0 profile + M9 hazard profile + M5 imports</t>
  </si>
  <si>
    <t xml:space="preserve">The Step 1 diagnostic assembles the context and hazard profile; the M5 prior-diagnostics imports still need steward verification at their registration gate.</t>
  </si>
  <si>
    <t xml:space="preserve">2</t>
  </si>
  <si>
    <t xml:space="preserve">Where the country stands</t>
  </si>
  <si>
    <t xml:space="preserve">CMS/EMS/OES with coverage, confidence and uncertainty; stage; pathway; momentum; solution stack; core-gate status</t>
  </si>
  <si>
    <t xml:space="preserve">Scoring core (v1.2.1 read-outs)</t>
  </si>
  <si>
    <t xml:space="preserve">Provisional from Step 1, but no stage is claimable until the government mandate exists and the read-outs are validated at Step 6.</t>
  </si>
  <si>
    <t xml:space="preserve">3</t>
  </si>
  <si>
    <t xml:space="preserve">Vision, targeting and beneficiaries</t>
  </si>
  <si>
    <t xml:space="preserve">Priority value chains, regions and farmer segments; digital bind per chain; demand evidence</t>
  </si>
  <si>
    <t xml:space="preserve">M1 + FDUS</t>
  </si>
  <si>
    <t xml:space="preserve">Shortlisted at Step 3 as a proposal and endorsed by government at Step 5; the regional re-projection and the farmer demand evidence arrive with the Step 7 analysis.</t>
  </si>
  <si>
    <t xml:space="preserve">4</t>
  </si>
  <si>
    <t xml:space="preserve">The investment program</t>
  </si>
  <si>
    <t xml:space="preserve">Sequenced candidates with screen results, E&amp;S class, DPI reuse decisions, dependencies and implementation owners</t>
  </si>
  <si>
    <t xml:space="preserve">Screen + M6 + M7 + M10</t>
  </si>
  <si>
    <t xml:space="preserve">Needs validated read-outs before candidates can be screened.</t>
  </si>
  <si>
    <t xml:space="preserve">5</t>
  </si>
  <si>
    <t xml:space="preserve">Costs and financing</t>
  </si>
  <si>
    <t xml:space="preserve">Costed program under envelope scenarios; fiscal-headroom statement; instrument routing; donor consolidation plan</t>
  </si>
  <si>
    <t xml:space="preserve">M2 + M3</t>
  </si>
  <si>
    <t xml:space="preserve">The Step 7 portfolio scenario and envelope, with finance sign-off.</t>
  </si>
  <si>
    <t xml:space="preserve">6</t>
  </si>
  <si>
    <t xml:space="preserve">Policy and regulatory actions</t>
  </si>
  <si>
    <t xml:space="preserve">C3-derived reform actions routed to DPF/PforR instruments; legal drafting needs</t>
  </si>
  <si>
    <t xml:space="preserve">Screen + M3</t>
  </si>
  <si>
    <t xml:space="preserve">Built on C3 evidence validated at Step 6, then routed to instruments with the Step 7 scenario.</t>
  </si>
  <si>
    <t xml:space="preserve">7</t>
  </si>
  <si>
    <t xml:space="preserve">Delivery and governance</t>
  </si>
  <si>
    <t xml:space="preserve">Mandate and ownership matrix; steering arrangements; adoption instrument and timeline</t>
  </si>
  <si>
    <t xml:space="preserve">M7 + M8</t>
  </si>
  <si>
    <t xml:space="preserve">The mandate letter and steering committee come from the Step 5 government gates; the ownership matrix and the adoption instrument follow at Steps 7-8.</t>
  </si>
  <si>
    <t xml:space="preserve">8</t>
  </si>
  <si>
    <t xml:space="preserve">Climate alignment</t>
  </si>
  <si>
    <t xml:space="preserve">NDC/CCDR crosswalk; Paris-alignment tags; climate-finance routes</t>
  </si>
  <si>
    <t xml:space="preserve">M9</t>
  </si>
  <si>
    <t xml:space="preserve">Hazard profile arrives with the Step 1 context; financing routes follow the Step 7 scenario.</t>
  </si>
  <si>
    <t xml:space="preserve">9</t>
  </si>
  <si>
    <t xml:space="preserve">Results and learning</t>
  </si>
  <si>
    <t xml:space="preserve">Results chains with baselines; sentinel monitoring set; measurement gap register and ASA plan; evaluation strategy</t>
  </si>
  <si>
    <t xml:space="preserve">M4</t>
  </si>
  <si>
    <t xml:space="preserve">The evidence plan at Step 4 identifies the gaps; the measurement gap register is seeded from the scored census in the Step 6 evidence rounds and finalised for adoption.</t>
  </si>
  <si>
    <t xml:space="preserve">10</t>
  </si>
  <si>
    <t xml:space="preserve">Risks and safeguards</t>
  </si>
  <si>
    <t xml:space="preserve">E&amp;S pre-screening; data rights, consent and redress; political-economy risks and mitigations; communications plan</t>
  </si>
  <si>
    <t xml:space="preserve">M8 + M10 + annexes</t>
  </si>
  <si>
    <t xml:space="preserve">E&amp;S and data-rights screening come with the Step 7 appraisal; the political-economy and communications material is assembled at Step 8.</t>
  </si>
  <si>
    <t xml:space="preserve">A</t>
  </si>
  <si>
    <t xml:space="preserve">Annexes</t>
  </si>
  <si>
    <t xml:space="preserve">Full indicator evidence base; dissent record; response to farmer evidence; version and configuration record</t>
  </si>
  <si>
    <t xml:space="preserve">Workbook + M10 + section 10</t>
  </si>
  <si>
    <t xml:space="preserve">The evidence base and audit trail export straight from this app.</t>
  </si>
</sst>
</file>

<file path=xl/styles.xml><?xml version="1.0" encoding="utf-8"?>
<styleSheet xmlns="http://schemas.openxmlformats.org/spreadsheetml/2006/main">
  <numFmts count="2">
    <numFmt numFmtId="164" formatCode="General"/>
    <numFmt numFmtId="165" formatCode="0%"/>
  </numFmts>
  <fonts count="11">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0"/>
      <color rgb="FF1F5C3D"/>
      <name val="Arial"/>
      <family val="0"/>
      <charset val="1"/>
    </font>
    <font>
      <sz val="10"/>
      <color rgb="FF212B24"/>
      <name val="Arial"/>
      <family val="0"/>
      <charset val="1"/>
    </font>
    <font>
      <b val="true"/>
      <sz val="11"/>
      <color rgb="FF1F5C3D"/>
      <name val="Arial"/>
      <family val="0"/>
      <charset val="1"/>
    </font>
    <font>
      <b val="true"/>
      <sz val="10"/>
      <color rgb="FF212B24"/>
      <name val="Arial"/>
      <family val="0"/>
      <charset val="1"/>
    </font>
    <font>
      <b val="true"/>
      <sz val="10"/>
      <color rgb="FF8A5A2B"/>
      <name val="Arial"/>
      <family val="0"/>
      <charset val="1"/>
    </font>
    <font>
      <i val="true"/>
      <sz val="9"/>
      <color rgb="FF5A685E"/>
      <name val="Arial"/>
      <family val="0"/>
      <charset val="1"/>
    </font>
  </fonts>
  <fills count="5">
    <fill>
      <patternFill patternType="none"/>
    </fill>
    <fill>
      <patternFill patternType="gray125"/>
    </fill>
    <fill>
      <patternFill patternType="solid">
        <fgColor rgb="FF1F5C3D"/>
        <bgColor rgb="FF5A685E"/>
      </patternFill>
    </fill>
    <fill>
      <patternFill patternType="solid">
        <fgColor rgb="FFEFF3EC"/>
        <bgColor rgb="FFFFF4E0"/>
      </patternFill>
    </fill>
    <fill>
      <patternFill patternType="solid">
        <fgColor rgb="FFFFF4E0"/>
        <bgColor rgb="FFEFF3EC"/>
      </patternFill>
    </fill>
  </fills>
  <borders count="2">
    <border diagonalUp="false" diagonalDown="false">
      <left/>
      <right/>
      <top/>
      <bottom/>
      <diagonal/>
    </border>
    <border diagonalUp="false" diagonalDown="false">
      <left style="thin">
        <color rgb="FFDCE1D8"/>
      </left>
      <right style="thin">
        <color rgb="FFDCE1D8"/>
      </right>
      <top style="thin">
        <color rgb="FFDCE1D8"/>
      </top>
      <bottom style="thin">
        <color rgb="FFDCE1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EFF3EC"/>
          <bgColor rgb="FF000000"/>
        </patternFill>
      </fill>
    </dxf>
    <dxf>
      <fill>
        <patternFill patternType="solid">
          <fgColor rgb="FFFFF4E0"/>
          <bgColor rgb="FF000000"/>
        </patternFill>
      </fill>
    </dxf>
    <dxf>
      <fill>
        <patternFill patternType="solid">
          <bgColor rgb="FF000000"/>
        </patternFill>
      </fill>
    </dxf>
    <dxf>
      <fill>
        <patternFill patternType="solid">
          <fgColor rgb="FF1F5C3D"/>
          <bgColor rgb="FF000000"/>
        </patternFill>
      </fill>
    </dxf>
    <dxf>
      <fill>
        <patternFill patternType="solid">
          <fgColor rgb="FF212B24"/>
          <bgColor rgb="FF000000"/>
        </patternFill>
      </fill>
    </dxf>
    <dxf>
      <fill>
        <patternFill patternType="solid">
          <fgColor rgb="FF8A5A2B"/>
          <bgColor rgb="FF000000"/>
        </patternFill>
      </fill>
    </dxf>
  </dxfs>
  <colors>
    <indexedColors>
      <rgbColor rgb="FF000000"/>
      <rgbColor rgb="FFFFFFFF"/>
      <rgbColor rgb="FFFF0000"/>
      <rgbColor rgb="FF00FF00"/>
      <rgbColor rgb="FF0000FF"/>
      <rgbColor rgb="FFFFFF00"/>
      <rgbColor rgb="FFFF00FF"/>
      <rgbColor rgb="FF00FFFF"/>
      <rgbColor rgb="FF800000"/>
      <rgbColor rgb="FF1F5C3D"/>
      <rgbColor rgb="FF000080"/>
      <rgbColor rgb="FF8A5A2B"/>
      <rgbColor rgb="FF800080"/>
      <rgbColor rgb="FF008080"/>
      <rgbColor rgb="FFC0C0C0"/>
      <rgbColor rgb="FF808080"/>
      <rgbColor rgb="FF9999FF"/>
      <rgbColor rgb="FF993366"/>
      <rgbColor rgb="FFFFF4E0"/>
      <rgbColor rgb="FFEFF3EC"/>
      <rgbColor rgb="FF660066"/>
      <rgbColor rgb="FFFF8080"/>
      <rgbColor rgb="FF0066CC"/>
      <rgbColor rgb="FFDCE1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685E"/>
      <rgbColor rgb="FF969696"/>
      <rgbColor rgb="FF003366"/>
      <rgbColor rgb="FF339966"/>
      <rgbColor rgb="FF003300"/>
      <rgbColor rgb="FF333300"/>
      <rgbColor rgb="FF993300"/>
      <rgbColor rgb="FF993366"/>
      <rgbColor rgb="FF333399"/>
      <rgbColor rgb="FF212B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08"/>
  </cols>
  <sheetData>
    <row r="1" customFormat="false" ht="30" hidden="false" customHeight="true" outlineLevel="0" collapsed="false">
      <c r="A1" s="1" t="s">
        <v>0</v>
      </c>
      <c r="B1" s="1"/>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s">
        <v>6</v>
      </c>
    </row>
    <row r="6" customFormat="false" ht="15" hidden="false" customHeight="false" outlineLevel="0" collapsed="false">
      <c r="A6" s="2" t="s">
        <v>7</v>
      </c>
      <c r="B6" s="3" t="n">
        <v>2026</v>
      </c>
    </row>
    <row r="7" customFormat="false" ht="15" hidden="false" customHeight="false" outlineLevel="0" collapsed="false">
      <c r="A7" s="2" t="s">
        <v>8</v>
      </c>
      <c r="B7" s="3" t="s">
        <v>9</v>
      </c>
    </row>
    <row r="8" customFormat="false" ht="15" hidden="false" customHeight="false" outlineLevel="0" collapsed="false">
      <c r="A8" s="2" t="s">
        <v>10</v>
      </c>
      <c r="B8" s="3" t="n">
        <f aca="false">COUNTA(Indicators!A2:A200)</f>
        <v>97</v>
      </c>
    </row>
    <row r="9" customFormat="false" ht="15" hidden="false" customHeight="false" outlineLevel="0" collapsed="false">
      <c r="A9" s="2" t="s">
        <v>11</v>
      </c>
      <c r="B9" s="3" t="n">
        <f aca="false">COUNTIF(Pillars!$C$2:$C$50,"Context")+COUNTIF(Pillars!$C$2:$C$50,"Capability")+COUNTIF(Pillars!$C$2:$C$50,"Ecosystem")+COUNTIF(Pillars!$C$2:$C$50,"Outcome")</f>
        <v>8</v>
      </c>
    </row>
    <row r="10" customFormat="false" ht="15" hidden="false" customHeight="false" outlineLevel="0" collapsed="false">
      <c r="A10" s="2" t="s">
        <v>12</v>
      </c>
      <c r="B10" s="3" t="n">
        <f aca="false">COUNTA('Core gates'!A2:A50)</f>
        <v>13</v>
      </c>
    </row>
    <row r="11" customFormat="false" ht="15" hidden="false" customHeight="false" outlineLevel="0" collapsed="false">
      <c r="A11" s="2" t="s">
        <v>13</v>
      </c>
      <c r="B11" s="3" t="n">
        <f aca="false">COUNTA('Decision ladder'!A2:A50)</f>
        <v>8</v>
      </c>
    </row>
    <row r="13" customFormat="false" ht="15" hidden="false" customHeight="false" outlineLevel="0" collapsed="false">
      <c r="A13" s="4" t="s">
        <v>14</v>
      </c>
    </row>
    <row r="14" customFormat="false" ht="15" hidden="false" customHeight="false" outlineLevel="0" collapsed="false">
      <c r="A14" s="5" t="n">
        <v>1</v>
      </c>
      <c r="B14" s="3" t="s">
        <v>15</v>
      </c>
    </row>
    <row r="15" customFormat="false" ht="15" hidden="false" customHeight="false" outlineLevel="0" collapsed="false">
      <c r="A15" s="5" t="n">
        <v>2</v>
      </c>
      <c r="B15" s="3" t="s">
        <v>16</v>
      </c>
    </row>
    <row r="16" customFormat="false" ht="15" hidden="false" customHeight="false" outlineLevel="0" collapsed="false">
      <c r="A16" s="5" t="n">
        <v>3</v>
      </c>
      <c r="B16" s="3" t="s">
        <v>17</v>
      </c>
    </row>
    <row r="17" customFormat="false" ht="15" hidden="false" customHeight="false" outlineLevel="0" collapsed="false">
      <c r="A17" s="5" t="n">
        <v>4</v>
      </c>
      <c r="B17" s="3" t="s">
        <v>18</v>
      </c>
    </row>
    <row r="19" customFormat="false" ht="15" hidden="false" customHeight="false" outlineLevel="0" collapsed="false">
      <c r="A19" s="4" t="s">
        <v>19</v>
      </c>
    </row>
    <row r="20" customFormat="false" ht="15" hidden="false" customHeight="false" outlineLevel="0" collapsed="false">
      <c r="A20" s="6" t="s">
        <v>10</v>
      </c>
      <c r="B20" s="3" t="s">
        <v>20</v>
      </c>
    </row>
    <row r="21" customFormat="false" ht="15" hidden="false" customHeight="false" outlineLevel="0" collapsed="false">
      <c r="A21" s="6" t="s">
        <v>21</v>
      </c>
      <c r="B21" s="3" t="s">
        <v>22</v>
      </c>
    </row>
    <row r="22" customFormat="false" ht="15" hidden="false" customHeight="false" outlineLevel="0" collapsed="false">
      <c r="A22" s="6" t="s">
        <v>11</v>
      </c>
      <c r="B22" s="3" t="s">
        <v>23</v>
      </c>
    </row>
    <row r="23" customFormat="false" ht="15" hidden="false" customHeight="false" outlineLevel="0" collapsed="false">
      <c r="A23" s="6" t="s">
        <v>12</v>
      </c>
      <c r="B23" s="3" t="s">
        <v>24</v>
      </c>
    </row>
    <row r="24" customFormat="false" ht="15" hidden="false" customHeight="false" outlineLevel="0" collapsed="false">
      <c r="A24" s="6" t="s">
        <v>25</v>
      </c>
      <c r="B24" s="3" t="s">
        <v>26</v>
      </c>
    </row>
    <row r="25" customFormat="false" ht="15" hidden="false" customHeight="false" outlineLevel="0" collapsed="false">
      <c r="A25" s="6" t="s">
        <v>27</v>
      </c>
      <c r="B25" s="3" t="s">
        <v>28</v>
      </c>
    </row>
    <row r="26" customFormat="false" ht="15" hidden="false" customHeight="false" outlineLevel="0" collapsed="false">
      <c r="A26" s="6" t="s">
        <v>29</v>
      </c>
      <c r="B26" s="3" t="s">
        <v>30</v>
      </c>
    </row>
    <row r="27" customFormat="false" ht="15" hidden="false" customHeight="false" outlineLevel="0" collapsed="false">
      <c r="A27" s="6" t="s">
        <v>31</v>
      </c>
      <c r="B27" s="3" t="s">
        <v>32</v>
      </c>
    </row>
    <row r="28" customFormat="false" ht="23.85" hidden="false" customHeight="false" outlineLevel="0" collapsed="false">
      <c r="A28" s="6" t="s">
        <v>33</v>
      </c>
      <c r="B28" s="3" t="s">
        <v>34</v>
      </c>
    </row>
    <row r="30" customFormat="false" ht="15" hidden="false" customHeight="false" outlineLevel="0" collapsed="false">
      <c r="A30" s="4" t="s">
        <v>35</v>
      </c>
    </row>
    <row r="31" customFormat="false" ht="23.85" hidden="false" customHeight="false" outlineLevel="0" collapsed="false">
      <c r="B31" s="3" t="s">
        <v>36</v>
      </c>
    </row>
    <row r="32" customFormat="false" ht="15" hidden="false" customHeight="false" outlineLevel="0" collapsed="false">
      <c r="B32" s="3" t="s">
        <v>37</v>
      </c>
    </row>
    <row r="33" customFormat="false" ht="23.85" hidden="false" customHeight="false" outlineLevel="0" collapsed="false">
      <c r="B33" s="3" t="s">
        <v>38</v>
      </c>
    </row>
    <row r="34" customFormat="false" ht="23.85" hidden="false" customHeight="false" outlineLevel="0" collapsed="false">
      <c r="B34" s="3" t="s">
        <v>39</v>
      </c>
    </row>
  </sheetData>
  <mergeCells count="1">
    <mergeCell ref="A1:B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46"/>
    <col collapsed="false" customWidth="true" hidden="false" outlineLevel="0" max="3" min="3" style="0" width="7"/>
    <col collapsed="false" customWidth="true" hidden="false" outlineLevel="0" max="4" min="4" style="0" width="26"/>
    <col collapsed="false" customWidth="true" hidden="false" outlineLevel="0" max="5" min="5" style="0" width="12"/>
    <col collapsed="false" customWidth="true" hidden="false" outlineLevel="0" max="6" min="6" style="0" width="11"/>
    <col collapsed="false" customWidth="true" hidden="false" outlineLevel="0" max="7" min="7" style="0" width="24"/>
    <col collapsed="false" customWidth="true" hidden="false" outlineLevel="0" max="9" min="8" style="0" width="10"/>
    <col collapsed="false" customWidth="true" hidden="false" outlineLevel="0" max="14" min="10" style="0" width="12"/>
    <col collapsed="false" customWidth="true" hidden="false" outlineLevel="0" max="15" min="15" style="0" width="34"/>
    <col collapsed="false" customWidth="true" hidden="false" outlineLevel="0" max="16" min="16" style="0" width="46"/>
  </cols>
  <sheetData>
    <row r="1" customFormat="false" ht="23.85" hidden="false" customHeight="false" outlineLevel="0" collapsed="false">
      <c r="A1" s="7" t="s">
        <v>40</v>
      </c>
      <c r="B1" s="7" t="s">
        <v>41</v>
      </c>
      <c r="C1" s="7" t="s">
        <v>42</v>
      </c>
      <c r="D1" s="7" t="s">
        <v>43</v>
      </c>
      <c r="E1" s="7" t="s">
        <v>44</v>
      </c>
      <c r="F1" s="7" t="s">
        <v>45</v>
      </c>
      <c r="G1" s="7" t="s">
        <v>46</v>
      </c>
      <c r="H1" s="7" t="s">
        <v>47</v>
      </c>
      <c r="I1" s="7" t="s">
        <v>48</v>
      </c>
      <c r="J1" s="7" t="s">
        <v>49</v>
      </c>
      <c r="K1" s="7" t="s">
        <v>50</v>
      </c>
      <c r="L1" s="7" t="s">
        <v>51</v>
      </c>
      <c r="M1" s="7" t="s">
        <v>52</v>
      </c>
      <c r="N1" s="7" t="s">
        <v>53</v>
      </c>
      <c r="O1" s="7" t="s">
        <v>54</v>
      </c>
      <c r="P1" s="7" t="s">
        <v>55</v>
      </c>
    </row>
    <row r="2" customFormat="false" ht="23.85" hidden="false" customHeight="false" outlineLevel="0" collapsed="false">
      <c r="A2" s="8" t="s">
        <v>56</v>
      </c>
      <c r="B2" s="9" t="s">
        <v>57</v>
      </c>
      <c r="C2" s="8" t="s">
        <v>58</v>
      </c>
      <c r="D2" s="9" t="s">
        <v>59</v>
      </c>
      <c r="E2" s="8" t="s">
        <v>60</v>
      </c>
      <c r="F2" s="8" t="s">
        <v>61</v>
      </c>
      <c r="G2" s="9" t="s">
        <v>62</v>
      </c>
      <c r="H2" s="8" t="s">
        <v>63</v>
      </c>
      <c r="I2" s="8"/>
      <c r="J2" s="8" t="n">
        <v>3</v>
      </c>
      <c r="K2" s="8"/>
      <c r="L2" s="8"/>
      <c r="M2" s="8"/>
      <c r="N2" s="8"/>
      <c r="O2" s="9" t="s">
        <v>64</v>
      </c>
      <c r="P2" s="9" t="s">
        <v>65</v>
      </c>
    </row>
    <row r="3" customFormat="false" ht="23.85" hidden="false" customHeight="false" outlineLevel="0" collapsed="false">
      <c r="A3" s="8" t="s">
        <v>66</v>
      </c>
      <c r="B3" s="9" t="s">
        <v>67</v>
      </c>
      <c r="C3" s="8" t="s">
        <v>58</v>
      </c>
      <c r="D3" s="9" t="s">
        <v>59</v>
      </c>
      <c r="E3" s="8" t="s">
        <v>60</v>
      </c>
      <c r="F3" s="8" t="s">
        <v>61</v>
      </c>
      <c r="G3" s="9" t="s">
        <v>62</v>
      </c>
      <c r="H3" s="8" t="s">
        <v>63</v>
      </c>
      <c r="I3" s="8"/>
      <c r="J3" s="8" t="n">
        <v>3</v>
      </c>
      <c r="K3" s="8"/>
      <c r="L3" s="8"/>
      <c r="M3" s="8"/>
      <c r="N3" s="8"/>
      <c r="O3" s="9" t="s">
        <v>64</v>
      </c>
      <c r="P3" s="9" t="s">
        <v>65</v>
      </c>
    </row>
    <row r="4" customFormat="false" ht="23.85" hidden="false" customHeight="false" outlineLevel="0" collapsed="false">
      <c r="A4" s="8" t="s">
        <v>68</v>
      </c>
      <c r="B4" s="9" t="s">
        <v>69</v>
      </c>
      <c r="C4" s="8" t="s">
        <v>58</v>
      </c>
      <c r="D4" s="9" t="s">
        <v>59</v>
      </c>
      <c r="E4" s="8" t="s">
        <v>60</v>
      </c>
      <c r="F4" s="8" t="s">
        <v>61</v>
      </c>
      <c r="G4" s="9" t="s">
        <v>62</v>
      </c>
      <c r="H4" s="8" t="s">
        <v>63</v>
      </c>
      <c r="I4" s="8"/>
      <c r="J4" s="8" t="n">
        <v>3</v>
      </c>
      <c r="K4" s="8"/>
      <c r="L4" s="8"/>
      <c r="M4" s="8"/>
      <c r="N4" s="8"/>
      <c r="O4" s="9" t="s">
        <v>64</v>
      </c>
      <c r="P4" s="9" t="s">
        <v>65</v>
      </c>
    </row>
    <row r="5" customFormat="false" ht="23.85" hidden="false" customHeight="false" outlineLevel="0" collapsed="false">
      <c r="A5" s="8" t="s">
        <v>70</v>
      </c>
      <c r="B5" s="9" t="s">
        <v>71</v>
      </c>
      <c r="C5" s="8" t="s">
        <v>58</v>
      </c>
      <c r="D5" s="9" t="s">
        <v>59</v>
      </c>
      <c r="E5" s="8" t="s">
        <v>60</v>
      </c>
      <c r="F5" s="8" t="s">
        <v>61</v>
      </c>
      <c r="G5" s="9" t="s">
        <v>62</v>
      </c>
      <c r="H5" s="8" t="s">
        <v>63</v>
      </c>
      <c r="I5" s="8"/>
      <c r="J5" s="8" t="n">
        <v>3</v>
      </c>
      <c r="K5" s="8"/>
      <c r="L5" s="8"/>
      <c r="M5" s="8"/>
      <c r="N5" s="8"/>
      <c r="O5" s="9" t="s">
        <v>64</v>
      </c>
      <c r="P5" s="9" t="s">
        <v>65</v>
      </c>
    </row>
    <row r="6" customFormat="false" ht="23.85" hidden="false" customHeight="false" outlineLevel="0" collapsed="false">
      <c r="A6" s="8" t="s">
        <v>72</v>
      </c>
      <c r="B6" s="9" t="s">
        <v>73</v>
      </c>
      <c r="C6" s="8" t="s">
        <v>58</v>
      </c>
      <c r="D6" s="9" t="s">
        <v>59</v>
      </c>
      <c r="E6" s="8" t="s">
        <v>60</v>
      </c>
      <c r="F6" s="8" t="s">
        <v>74</v>
      </c>
      <c r="G6" s="9" t="s">
        <v>62</v>
      </c>
      <c r="H6" s="8" t="s">
        <v>63</v>
      </c>
      <c r="I6" s="8"/>
      <c r="J6" s="8" t="n">
        <v>2</v>
      </c>
      <c r="K6" s="8"/>
      <c r="L6" s="8"/>
      <c r="M6" s="8"/>
      <c r="N6" s="8"/>
      <c r="O6" s="9" t="s">
        <v>64</v>
      </c>
      <c r="P6" s="9" t="s">
        <v>65</v>
      </c>
    </row>
    <row r="7" customFormat="false" ht="23.85" hidden="false" customHeight="false" outlineLevel="0" collapsed="false">
      <c r="A7" s="8" t="s">
        <v>75</v>
      </c>
      <c r="B7" s="9" t="s">
        <v>76</v>
      </c>
      <c r="C7" s="8" t="s">
        <v>58</v>
      </c>
      <c r="D7" s="9" t="s">
        <v>59</v>
      </c>
      <c r="E7" s="8" t="s">
        <v>60</v>
      </c>
      <c r="F7" s="8" t="s">
        <v>74</v>
      </c>
      <c r="G7" s="9" t="s">
        <v>62</v>
      </c>
      <c r="H7" s="8" t="s">
        <v>63</v>
      </c>
      <c r="I7" s="8"/>
      <c r="J7" s="8" t="n">
        <v>2</v>
      </c>
      <c r="K7" s="8"/>
      <c r="L7" s="8"/>
      <c r="M7" s="8"/>
      <c r="N7" s="8"/>
      <c r="O7" s="9" t="s">
        <v>64</v>
      </c>
      <c r="P7" s="9" t="s">
        <v>65</v>
      </c>
    </row>
    <row r="8" customFormat="false" ht="23.85" hidden="false" customHeight="false" outlineLevel="0" collapsed="false">
      <c r="A8" s="8" t="s">
        <v>77</v>
      </c>
      <c r="B8" s="9" t="s">
        <v>78</v>
      </c>
      <c r="C8" s="8" t="s">
        <v>58</v>
      </c>
      <c r="D8" s="9" t="s">
        <v>59</v>
      </c>
      <c r="E8" s="8" t="s">
        <v>60</v>
      </c>
      <c r="F8" s="8" t="s">
        <v>74</v>
      </c>
      <c r="G8" s="9" t="s">
        <v>62</v>
      </c>
      <c r="H8" s="8" t="s">
        <v>63</v>
      </c>
      <c r="I8" s="8"/>
      <c r="J8" s="8" t="n">
        <v>2</v>
      </c>
      <c r="K8" s="8"/>
      <c r="L8" s="8"/>
      <c r="M8" s="8"/>
      <c r="N8" s="8"/>
      <c r="O8" s="9" t="s">
        <v>64</v>
      </c>
      <c r="P8" s="9" t="s">
        <v>65</v>
      </c>
    </row>
    <row r="9" customFormat="false" ht="23.85" hidden="false" customHeight="false" outlineLevel="0" collapsed="false">
      <c r="A9" s="8" t="s">
        <v>79</v>
      </c>
      <c r="B9" s="9" t="s">
        <v>80</v>
      </c>
      <c r="C9" s="8" t="s">
        <v>58</v>
      </c>
      <c r="D9" s="9" t="s">
        <v>59</v>
      </c>
      <c r="E9" s="8" t="s">
        <v>60</v>
      </c>
      <c r="F9" s="8" t="s">
        <v>74</v>
      </c>
      <c r="G9" s="9" t="s">
        <v>62</v>
      </c>
      <c r="H9" s="8" t="s">
        <v>63</v>
      </c>
      <c r="I9" s="8"/>
      <c r="J9" s="8" t="n">
        <v>2</v>
      </c>
      <c r="K9" s="8"/>
      <c r="L9" s="8"/>
      <c r="M9" s="8"/>
      <c r="N9" s="8"/>
      <c r="O9" s="9" t="s">
        <v>64</v>
      </c>
      <c r="P9" s="9" t="s">
        <v>65</v>
      </c>
    </row>
    <row r="10" customFormat="false" ht="23.85" hidden="false" customHeight="false" outlineLevel="0" collapsed="false">
      <c r="A10" s="8" t="s">
        <v>81</v>
      </c>
      <c r="B10" s="9" t="s">
        <v>82</v>
      </c>
      <c r="C10" s="8" t="s">
        <v>83</v>
      </c>
      <c r="D10" s="9" t="s">
        <v>84</v>
      </c>
      <c r="E10" s="8" t="s">
        <v>85</v>
      </c>
      <c r="F10" s="8" t="s">
        <v>74</v>
      </c>
      <c r="G10" s="9" t="s">
        <v>86</v>
      </c>
      <c r="H10" s="8" t="s">
        <v>63</v>
      </c>
      <c r="I10" s="8"/>
      <c r="J10" s="8" t="n">
        <v>2</v>
      </c>
      <c r="K10" s="8"/>
      <c r="L10" s="8"/>
      <c r="M10" s="8"/>
      <c r="N10" s="8"/>
      <c r="O10" s="9" t="s">
        <v>87</v>
      </c>
      <c r="P10" s="9" t="s">
        <v>88</v>
      </c>
    </row>
    <row r="11" customFormat="false" ht="35.05" hidden="false" customHeight="false" outlineLevel="0" collapsed="false">
      <c r="A11" s="10" t="s">
        <v>89</v>
      </c>
      <c r="B11" s="11" t="s">
        <v>90</v>
      </c>
      <c r="C11" s="10" t="s">
        <v>91</v>
      </c>
      <c r="D11" s="11" t="s">
        <v>92</v>
      </c>
      <c r="E11" s="10" t="s">
        <v>85</v>
      </c>
      <c r="F11" s="10" t="s">
        <v>61</v>
      </c>
      <c r="G11" s="11" t="s">
        <v>93</v>
      </c>
      <c r="H11" s="10" t="s">
        <v>94</v>
      </c>
      <c r="I11" s="12" t="s">
        <v>95</v>
      </c>
      <c r="J11" s="10" t="n">
        <v>3</v>
      </c>
      <c r="K11" s="10" t="n">
        <v>20</v>
      </c>
      <c r="L11" s="10" t="n">
        <v>40</v>
      </c>
      <c r="M11" s="10" t="n">
        <v>60</v>
      </c>
      <c r="N11" s="10" t="n">
        <v>80</v>
      </c>
      <c r="O11" s="11" t="s">
        <v>96</v>
      </c>
      <c r="P11" s="11" t="s">
        <v>97</v>
      </c>
    </row>
    <row r="12" customFormat="false" ht="35.05" hidden="false" customHeight="false" outlineLevel="0" collapsed="false">
      <c r="A12" s="8" t="s">
        <v>98</v>
      </c>
      <c r="B12" s="9" t="s">
        <v>99</v>
      </c>
      <c r="C12" s="8" t="s">
        <v>91</v>
      </c>
      <c r="D12" s="9" t="s">
        <v>92</v>
      </c>
      <c r="E12" s="8" t="s">
        <v>85</v>
      </c>
      <c r="F12" s="8" t="s">
        <v>61</v>
      </c>
      <c r="G12" s="9" t="s">
        <v>93</v>
      </c>
      <c r="H12" s="8" t="s">
        <v>94</v>
      </c>
      <c r="I12" s="8"/>
      <c r="J12" s="8" t="n">
        <v>3</v>
      </c>
      <c r="K12" s="8" t="n">
        <v>20</v>
      </c>
      <c r="L12" s="8" t="n">
        <v>40</v>
      </c>
      <c r="M12" s="8" t="n">
        <v>60</v>
      </c>
      <c r="N12" s="8" t="n">
        <v>80</v>
      </c>
      <c r="O12" s="9" t="s">
        <v>96</v>
      </c>
      <c r="P12" s="9" t="s">
        <v>97</v>
      </c>
    </row>
    <row r="13" customFormat="false" ht="35.05" hidden="false" customHeight="false" outlineLevel="0" collapsed="false">
      <c r="A13" s="8" t="s">
        <v>100</v>
      </c>
      <c r="B13" s="9" t="s">
        <v>101</v>
      </c>
      <c r="C13" s="8" t="s">
        <v>91</v>
      </c>
      <c r="D13" s="9" t="s">
        <v>92</v>
      </c>
      <c r="E13" s="8" t="s">
        <v>85</v>
      </c>
      <c r="F13" s="8" t="s">
        <v>61</v>
      </c>
      <c r="G13" s="9" t="s">
        <v>93</v>
      </c>
      <c r="H13" s="8" t="s">
        <v>94</v>
      </c>
      <c r="I13" s="8"/>
      <c r="J13" s="8" t="n">
        <v>3</v>
      </c>
      <c r="K13" s="8" t="n">
        <v>20</v>
      </c>
      <c r="L13" s="8" t="n">
        <v>40</v>
      </c>
      <c r="M13" s="8" t="n">
        <v>70</v>
      </c>
      <c r="N13" s="8" t="n">
        <v>100</v>
      </c>
      <c r="O13" s="9" t="s">
        <v>96</v>
      </c>
      <c r="P13" s="9" t="s">
        <v>97</v>
      </c>
    </row>
    <row r="14" customFormat="false" ht="35.05" hidden="false" customHeight="false" outlineLevel="0" collapsed="false">
      <c r="A14" s="8" t="s">
        <v>102</v>
      </c>
      <c r="B14" s="9" t="s">
        <v>103</v>
      </c>
      <c r="C14" s="8" t="s">
        <v>91</v>
      </c>
      <c r="D14" s="9" t="s">
        <v>92</v>
      </c>
      <c r="E14" s="8" t="s">
        <v>85</v>
      </c>
      <c r="F14" s="8" t="s">
        <v>61</v>
      </c>
      <c r="G14" s="9" t="s">
        <v>93</v>
      </c>
      <c r="H14" s="8" t="s">
        <v>94</v>
      </c>
      <c r="I14" s="8"/>
      <c r="J14" s="8" t="n">
        <v>3</v>
      </c>
      <c r="K14" s="8" t="n">
        <v>20</v>
      </c>
      <c r="L14" s="8" t="n">
        <v>40</v>
      </c>
      <c r="M14" s="8" t="n">
        <v>60</v>
      </c>
      <c r="N14" s="8" t="n">
        <v>80</v>
      </c>
      <c r="O14" s="9" t="s">
        <v>96</v>
      </c>
      <c r="P14" s="9" t="s">
        <v>97</v>
      </c>
    </row>
    <row r="15" customFormat="false" ht="35.05" hidden="false" customHeight="false" outlineLevel="0" collapsed="false">
      <c r="A15" s="10" t="s">
        <v>104</v>
      </c>
      <c r="B15" s="11" t="s">
        <v>105</v>
      </c>
      <c r="C15" s="10" t="s">
        <v>91</v>
      </c>
      <c r="D15" s="11" t="s">
        <v>92</v>
      </c>
      <c r="E15" s="10" t="s">
        <v>85</v>
      </c>
      <c r="F15" s="10" t="s">
        <v>61</v>
      </c>
      <c r="G15" s="11" t="s">
        <v>93</v>
      </c>
      <c r="H15" s="10" t="s">
        <v>106</v>
      </c>
      <c r="I15" s="12" t="s">
        <v>95</v>
      </c>
      <c r="J15" s="10" t="n">
        <v>3</v>
      </c>
      <c r="K15" s="10" t="n">
        <v>10</v>
      </c>
      <c r="L15" s="10" t="n">
        <v>5</v>
      </c>
      <c r="M15" s="10" t="n">
        <v>2</v>
      </c>
      <c r="N15" s="10" t="n">
        <v>1</v>
      </c>
      <c r="O15" s="11" t="s">
        <v>96</v>
      </c>
      <c r="P15" s="11" t="s">
        <v>97</v>
      </c>
    </row>
    <row r="16" customFormat="false" ht="35.05" hidden="false" customHeight="false" outlineLevel="0" collapsed="false">
      <c r="A16" s="8" t="s">
        <v>107</v>
      </c>
      <c r="B16" s="9" t="s">
        <v>108</v>
      </c>
      <c r="C16" s="8" t="s">
        <v>91</v>
      </c>
      <c r="D16" s="9" t="s">
        <v>92</v>
      </c>
      <c r="E16" s="8" t="s">
        <v>85</v>
      </c>
      <c r="F16" s="8" t="s">
        <v>61</v>
      </c>
      <c r="G16" s="9" t="s">
        <v>93</v>
      </c>
      <c r="H16" s="8" t="s">
        <v>94</v>
      </c>
      <c r="I16" s="8"/>
      <c r="J16" s="8" t="n">
        <v>3</v>
      </c>
      <c r="K16" s="8" t="n">
        <v>20</v>
      </c>
      <c r="L16" s="8" t="n">
        <v>40</v>
      </c>
      <c r="M16" s="8" t="n">
        <v>60</v>
      </c>
      <c r="N16" s="8" t="n">
        <v>80</v>
      </c>
      <c r="O16" s="9" t="s">
        <v>96</v>
      </c>
      <c r="P16" s="9" t="s">
        <v>97</v>
      </c>
    </row>
    <row r="17" customFormat="false" ht="35.05" hidden="false" customHeight="false" outlineLevel="0" collapsed="false">
      <c r="A17" s="8" t="s">
        <v>109</v>
      </c>
      <c r="B17" s="9" t="s">
        <v>110</v>
      </c>
      <c r="C17" s="8" t="s">
        <v>91</v>
      </c>
      <c r="D17" s="9" t="s">
        <v>92</v>
      </c>
      <c r="E17" s="8" t="s">
        <v>85</v>
      </c>
      <c r="F17" s="8" t="s">
        <v>74</v>
      </c>
      <c r="G17" s="9" t="s">
        <v>93</v>
      </c>
      <c r="H17" s="8" t="s">
        <v>94</v>
      </c>
      <c r="I17" s="8"/>
      <c r="J17" s="8" t="n">
        <v>2</v>
      </c>
      <c r="K17" s="8" t="n">
        <v>20</v>
      </c>
      <c r="L17" s="8" t="n">
        <v>40</v>
      </c>
      <c r="M17" s="8" t="n">
        <v>60</v>
      </c>
      <c r="N17" s="8" t="n">
        <v>80</v>
      </c>
      <c r="O17" s="9" t="s">
        <v>96</v>
      </c>
      <c r="P17" s="9" t="s">
        <v>97</v>
      </c>
    </row>
    <row r="18" customFormat="false" ht="35.05" hidden="false" customHeight="false" outlineLevel="0" collapsed="false">
      <c r="A18" s="8" t="s">
        <v>111</v>
      </c>
      <c r="B18" s="9" t="s">
        <v>112</v>
      </c>
      <c r="C18" s="8" t="s">
        <v>91</v>
      </c>
      <c r="D18" s="9" t="s">
        <v>92</v>
      </c>
      <c r="E18" s="8" t="s">
        <v>85</v>
      </c>
      <c r="F18" s="8" t="s">
        <v>74</v>
      </c>
      <c r="G18" s="9" t="s">
        <v>93</v>
      </c>
      <c r="H18" s="8" t="s">
        <v>106</v>
      </c>
      <c r="I18" s="8"/>
      <c r="J18" s="8" t="n">
        <v>2</v>
      </c>
      <c r="K18" s="8" t="n">
        <v>10</v>
      </c>
      <c r="L18" s="8" t="n">
        <v>5</v>
      </c>
      <c r="M18" s="8" t="n">
        <v>2</v>
      </c>
      <c r="N18" s="8" t="n">
        <v>1</v>
      </c>
      <c r="O18" s="9" t="s">
        <v>96</v>
      </c>
      <c r="P18" s="9" t="s">
        <v>97</v>
      </c>
    </row>
    <row r="19" customFormat="false" ht="35.05" hidden="false" customHeight="false" outlineLevel="0" collapsed="false">
      <c r="A19" s="10" t="s">
        <v>113</v>
      </c>
      <c r="B19" s="11" t="s">
        <v>114</v>
      </c>
      <c r="C19" s="10" t="s">
        <v>91</v>
      </c>
      <c r="D19" s="11" t="s">
        <v>92</v>
      </c>
      <c r="E19" s="10" t="s">
        <v>85</v>
      </c>
      <c r="F19" s="10" t="s">
        <v>74</v>
      </c>
      <c r="G19" s="11" t="s">
        <v>93</v>
      </c>
      <c r="H19" s="10" t="s">
        <v>94</v>
      </c>
      <c r="I19" s="12" t="s">
        <v>95</v>
      </c>
      <c r="J19" s="10" t="n">
        <v>2</v>
      </c>
      <c r="K19" s="10" t="n">
        <v>20</v>
      </c>
      <c r="L19" s="10" t="n">
        <v>40</v>
      </c>
      <c r="M19" s="10" t="n">
        <v>60</v>
      </c>
      <c r="N19" s="10" t="n">
        <v>80</v>
      </c>
      <c r="O19" s="11" t="s">
        <v>96</v>
      </c>
      <c r="P19" s="11" t="s">
        <v>97</v>
      </c>
    </row>
    <row r="20" customFormat="false" ht="35.05" hidden="false" customHeight="false" outlineLevel="0" collapsed="false">
      <c r="A20" s="8" t="s">
        <v>115</v>
      </c>
      <c r="B20" s="9" t="s">
        <v>116</v>
      </c>
      <c r="C20" s="8" t="s">
        <v>91</v>
      </c>
      <c r="D20" s="9" t="s">
        <v>92</v>
      </c>
      <c r="E20" s="8" t="s">
        <v>85</v>
      </c>
      <c r="F20" s="8" t="s">
        <v>74</v>
      </c>
      <c r="G20" s="9" t="s">
        <v>93</v>
      </c>
      <c r="H20" s="8" t="s">
        <v>94</v>
      </c>
      <c r="I20" s="8"/>
      <c r="J20" s="8" t="n">
        <v>2</v>
      </c>
      <c r="K20" s="8" t="n">
        <v>2</v>
      </c>
      <c r="L20" s="8" t="n">
        <v>5</v>
      </c>
      <c r="M20" s="8" t="n">
        <v>10</v>
      </c>
      <c r="N20" s="8" t="n">
        <v>25</v>
      </c>
      <c r="O20" s="9" t="s">
        <v>96</v>
      </c>
      <c r="P20" s="9" t="s">
        <v>97</v>
      </c>
    </row>
    <row r="21" customFormat="false" ht="23.85" hidden="false" customHeight="false" outlineLevel="0" collapsed="false">
      <c r="A21" s="8" t="s">
        <v>117</v>
      </c>
      <c r="B21" s="9" t="s">
        <v>118</v>
      </c>
      <c r="C21" s="8" t="s">
        <v>91</v>
      </c>
      <c r="D21" s="9" t="s">
        <v>92</v>
      </c>
      <c r="E21" s="8" t="s">
        <v>85</v>
      </c>
      <c r="F21" s="8" t="s">
        <v>74</v>
      </c>
      <c r="G21" s="9" t="s">
        <v>86</v>
      </c>
      <c r="H21" s="8" t="s">
        <v>63</v>
      </c>
      <c r="I21" s="8"/>
      <c r="J21" s="8" t="n">
        <v>2</v>
      </c>
      <c r="K21" s="8"/>
      <c r="L21" s="8"/>
      <c r="M21" s="8"/>
      <c r="N21" s="8"/>
      <c r="O21" s="9" t="s">
        <v>87</v>
      </c>
      <c r="P21" s="9" t="s">
        <v>88</v>
      </c>
    </row>
    <row r="22" customFormat="false" ht="35.05" hidden="false" customHeight="false" outlineLevel="0" collapsed="false">
      <c r="A22" s="8" t="s">
        <v>119</v>
      </c>
      <c r="B22" s="9" t="s">
        <v>120</v>
      </c>
      <c r="C22" s="8" t="s">
        <v>121</v>
      </c>
      <c r="D22" s="9" t="s">
        <v>122</v>
      </c>
      <c r="E22" s="8" t="s">
        <v>85</v>
      </c>
      <c r="F22" s="8" t="s">
        <v>61</v>
      </c>
      <c r="G22" s="9" t="s">
        <v>93</v>
      </c>
      <c r="H22" s="8" t="s">
        <v>94</v>
      </c>
      <c r="I22" s="8"/>
      <c r="J22" s="8" t="n">
        <v>3</v>
      </c>
      <c r="K22" s="8" t="n">
        <v>0.2</v>
      </c>
      <c r="L22" s="8" t="n">
        <v>0.4</v>
      </c>
      <c r="M22" s="8" t="n">
        <v>0.6</v>
      </c>
      <c r="N22" s="8" t="n">
        <v>0.8</v>
      </c>
      <c r="O22" s="9" t="s">
        <v>96</v>
      </c>
      <c r="P22" s="9" t="s">
        <v>97</v>
      </c>
    </row>
    <row r="23" customFormat="false" ht="35.05" hidden="false" customHeight="false" outlineLevel="0" collapsed="false">
      <c r="A23" s="8" t="s">
        <v>123</v>
      </c>
      <c r="B23" s="9" t="s">
        <v>124</v>
      </c>
      <c r="C23" s="8" t="s">
        <v>121</v>
      </c>
      <c r="D23" s="9" t="s">
        <v>122</v>
      </c>
      <c r="E23" s="8" t="s">
        <v>85</v>
      </c>
      <c r="F23" s="8" t="s">
        <v>61</v>
      </c>
      <c r="G23" s="9" t="s">
        <v>93</v>
      </c>
      <c r="H23" s="8" t="s">
        <v>94</v>
      </c>
      <c r="I23" s="8"/>
      <c r="J23" s="8" t="n">
        <v>3</v>
      </c>
      <c r="K23" s="8" t="n">
        <v>20</v>
      </c>
      <c r="L23" s="8" t="n">
        <v>40</v>
      </c>
      <c r="M23" s="8" t="n">
        <v>60</v>
      </c>
      <c r="N23" s="8" t="n">
        <v>80</v>
      </c>
      <c r="O23" s="9" t="s">
        <v>96</v>
      </c>
      <c r="P23" s="9" t="s">
        <v>97</v>
      </c>
    </row>
    <row r="24" customFormat="false" ht="23.85" hidden="false" customHeight="false" outlineLevel="0" collapsed="false">
      <c r="A24" s="10" t="s">
        <v>125</v>
      </c>
      <c r="B24" s="11" t="s">
        <v>126</v>
      </c>
      <c r="C24" s="10" t="s">
        <v>121</v>
      </c>
      <c r="D24" s="11" t="s">
        <v>122</v>
      </c>
      <c r="E24" s="10" t="s">
        <v>85</v>
      </c>
      <c r="F24" s="10" t="s">
        <v>74</v>
      </c>
      <c r="G24" s="11" t="s">
        <v>86</v>
      </c>
      <c r="H24" s="10" t="s">
        <v>63</v>
      </c>
      <c r="I24" s="12" t="s">
        <v>95</v>
      </c>
      <c r="J24" s="10" t="n">
        <v>2</v>
      </c>
      <c r="K24" s="10"/>
      <c r="L24" s="10"/>
      <c r="M24" s="10"/>
      <c r="N24" s="10"/>
      <c r="O24" s="11" t="s">
        <v>87</v>
      </c>
      <c r="P24" s="11" t="s">
        <v>88</v>
      </c>
    </row>
    <row r="25" customFormat="false" ht="23.85" hidden="false" customHeight="false" outlineLevel="0" collapsed="false">
      <c r="A25" s="8" t="s">
        <v>127</v>
      </c>
      <c r="B25" s="9" t="s">
        <v>128</v>
      </c>
      <c r="C25" s="8" t="s">
        <v>121</v>
      </c>
      <c r="D25" s="9" t="s">
        <v>122</v>
      </c>
      <c r="E25" s="8" t="s">
        <v>85</v>
      </c>
      <c r="F25" s="8" t="s">
        <v>74</v>
      </c>
      <c r="G25" s="9" t="s">
        <v>86</v>
      </c>
      <c r="H25" s="8" t="s">
        <v>63</v>
      </c>
      <c r="I25" s="8"/>
      <c r="J25" s="8" t="n">
        <v>2</v>
      </c>
      <c r="K25" s="8"/>
      <c r="L25" s="8"/>
      <c r="M25" s="8"/>
      <c r="N25" s="8"/>
      <c r="O25" s="9" t="s">
        <v>87</v>
      </c>
      <c r="P25" s="9" t="s">
        <v>88</v>
      </c>
    </row>
    <row r="26" customFormat="false" ht="23.85" hidden="false" customHeight="false" outlineLevel="0" collapsed="false">
      <c r="A26" s="8" t="s">
        <v>129</v>
      </c>
      <c r="B26" s="9" t="s">
        <v>130</v>
      </c>
      <c r="C26" s="8" t="s">
        <v>121</v>
      </c>
      <c r="D26" s="9" t="s">
        <v>122</v>
      </c>
      <c r="E26" s="8" t="s">
        <v>85</v>
      </c>
      <c r="F26" s="8" t="s">
        <v>74</v>
      </c>
      <c r="G26" s="9" t="s">
        <v>86</v>
      </c>
      <c r="H26" s="8" t="s">
        <v>63</v>
      </c>
      <c r="I26" s="8"/>
      <c r="J26" s="8" t="n">
        <v>2</v>
      </c>
      <c r="K26" s="8"/>
      <c r="L26" s="8"/>
      <c r="M26" s="8"/>
      <c r="N26" s="8"/>
      <c r="O26" s="9" t="s">
        <v>87</v>
      </c>
      <c r="P26" s="9" t="s">
        <v>88</v>
      </c>
    </row>
    <row r="27" customFormat="false" ht="35.05" hidden="false" customHeight="false" outlineLevel="0" collapsed="false">
      <c r="A27" s="8" t="s">
        <v>131</v>
      </c>
      <c r="B27" s="9" t="s">
        <v>132</v>
      </c>
      <c r="C27" s="8" t="s">
        <v>121</v>
      </c>
      <c r="D27" s="9" t="s">
        <v>122</v>
      </c>
      <c r="E27" s="8" t="s">
        <v>85</v>
      </c>
      <c r="F27" s="8" t="s">
        <v>74</v>
      </c>
      <c r="G27" s="9" t="s">
        <v>86</v>
      </c>
      <c r="H27" s="8" t="s">
        <v>63</v>
      </c>
      <c r="I27" s="8"/>
      <c r="J27" s="8" t="n">
        <v>2</v>
      </c>
      <c r="K27" s="8"/>
      <c r="L27" s="8"/>
      <c r="M27" s="8"/>
      <c r="N27" s="8"/>
      <c r="O27" s="9" t="s">
        <v>87</v>
      </c>
      <c r="P27" s="9" t="s">
        <v>133</v>
      </c>
    </row>
    <row r="28" customFormat="false" ht="23.85" hidden="false" customHeight="false" outlineLevel="0" collapsed="false">
      <c r="A28" s="8" t="s">
        <v>134</v>
      </c>
      <c r="B28" s="9" t="s">
        <v>135</v>
      </c>
      <c r="C28" s="8" t="s">
        <v>121</v>
      </c>
      <c r="D28" s="9" t="s">
        <v>122</v>
      </c>
      <c r="E28" s="8" t="s">
        <v>85</v>
      </c>
      <c r="F28" s="8" t="s">
        <v>74</v>
      </c>
      <c r="G28" s="9" t="s">
        <v>86</v>
      </c>
      <c r="H28" s="8" t="s">
        <v>63</v>
      </c>
      <c r="I28" s="8"/>
      <c r="J28" s="8" t="n">
        <v>2</v>
      </c>
      <c r="K28" s="8"/>
      <c r="L28" s="8"/>
      <c r="M28" s="8"/>
      <c r="N28" s="8"/>
      <c r="O28" s="9" t="s">
        <v>87</v>
      </c>
      <c r="P28" s="9" t="s">
        <v>88</v>
      </c>
    </row>
    <row r="29" customFormat="false" ht="23.85" hidden="false" customHeight="false" outlineLevel="0" collapsed="false">
      <c r="A29" s="8" t="s">
        <v>136</v>
      </c>
      <c r="B29" s="9" t="s">
        <v>137</v>
      </c>
      <c r="C29" s="8" t="s">
        <v>121</v>
      </c>
      <c r="D29" s="9" t="s">
        <v>122</v>
      </c>
      <c r="E29" s="8" t="s">
        <v>85</v>
      </c>
      <c r="F29" s="8" t="s">
        <v>74</v>
      </c>
      <c r="G29" s="9" t="s">
        <v>86</v>
      </c>
      <c r="H29" s="8" t="s">
        <v>63</v>
      </c>
      <c r="I29" s="8"/>
      <c r="J29" s="8" t="n">
        <v>2</v>
      </c>
      <c r="K29" s="8"/>
      <c r="L29" s="8"/>
      <c r="M29" s="8"/>
      <c r="N29" s="8"/>
      <c r="O29" s="9" t="s">
        <v>87</v>
      </c>
      <c r="P29" s="9" t="s">
        <v>88</v>
      </c>
    </row>
    <row r="30" customFormat="false" ht="35.05" hidden="false" customHeight="false" outlineLevel="0" collapsed="false">
      <c r="A30" s="8" t="s">
        <v>138</v>
      </c>
      <c r="B30" s="9" t="s">
        <v>139</v>
      </c>
      <c r="C30" s="8" t="s">
        <v>121</v>
      </c>
      <c r="D30" s="9" t="s">
        <v>122</v>
      </c>
      <c r="E30" s="8" t="s">
        <v>85</v>
      </c>
      <c r="F30" s="8" t="s">
        <v>74</v>
      </c>
      <c r="G30" s="9" t="s">
        <v>93</v>
      </c>
      <c r="H30" s="8" t="s">
        <v>94</v>
      </c>
      <c r="I30" s="8"/>
      <c r="J30" s="8" t="n">
        <v>2</v>
      </c>
      <c r="K30" s="8" t="n">
        <v>20</v>
      </c>
      <c r="L30" s="8" t="n">
        <v>40</v>
      </c>
      <c r="M30" s="8" t="n">
        <v>60</v>
      </c>
      <c r="N30" s="8" t="n">
        <v>80</v>
      </c>
      <c r="O30" s="9" t="s">
        <v>96</v>
      </c>
      <c r="P30" s="9" t="s">
        <v>97</v>
      </c>
    </row>
    <row r="31" customFormat="false" ht="23.85" hidden="false" customHeight="false" outlineLevel="0" collapsed="false">
      <c r="A31" s="8" t="s">
        <v>140</v>
      </c>
      <c r="B31" s="9" t="s">
        <v>141</v>
      </c>
      <c r="C31" s="8" t="s">
        <v>121</v>
      </c>
      <c r="D31" s="9" t="s">
        <v>122</v>
      </c>
      <c r="E31" s="8" t="s">
        <v>85</v>
      </c>
      <c r="F31" s="8" t="s">
        <v>74</v>
      </c>
      <c r="G31" s="9" t="s">
        <v>86</v>
      </c>
      <c r="H31" s="8" t="s">
        <v>63</v>
      </c>
      <c r="I31" s="8"/>
      <c r="J31" s="8" t="n">
        <v>2</v>
      </c>
      <c r="K31" s="8"/>
      <c r="L31" s="8"/>
      <c r="M31" s="8"/>
      <c r="N31" s="8"/>
      <c r="O31" s="9" t="s">
        <v>87</v>
      </c>
      <c r="P31" s="9" t="s">
        <v>88</v>
      </c>
    </row>
    <row r="32" customFormat="false" ht="23.85" hidden="false" customHeight="false" outlineLevel="0" collapsed="false">
      <c r="A32" s="10" t="s">
        <v>142</v>
      </c>
      <c r="B32" s="11" t="s">
        <v>143</v>
      </c>
      <c r="C32" s="10" t="s">
        <v>121</v>
      </c>
      <c r="D32" s="11" t="s">
        <v>122</v>
      </c>
      <c r="E32" s="10" t="s">
        <v>85</v>
      </c>
      <c r="F32" s="10" t="s">
        <v>74</v>
      </c>
      <c r="G32" s="11" t="s">
        <v>86</v>
      </c>
      <c r="H32" s="10" t="s">
        <v>63</v>
      </c>
      <c r="I32" s="12" t="s">
        <v>95</v>
      </c>
      <c r="J32" s="10" t="n">
        <v>2</v>
      </c>
      <c r="K32" s="10"/>
      <c r="L32" s="10"/>
      <c r="M32" s="10"/>
      <c r="N32" s="10"/>
      <c r="O32" s="11" t="s">
        <v>87</v>
      </c>
      <c r="P32" s="11" t="s">
        <v>88</v>
      </c>
    </row>
    <row r="33" customFormat="false" ht="23.85" hidden="false" customHeight="false" outlineLevel="0" collapsed="false">
      <c r="A33" s="8" t="s">
        <v>144</v>
      </c>
      <c r="B33" s="9" t="s">
        <v>145</v>
      </c>
      <c r="C33" s="8" t="s">
        <v>121</v>
      </c>
      <c r="D33" s="9" t="s">
        <v>122</v>
      </c>
      <c r="E33" s="8" t="s">
        <v>85</v>
      </c>
      <c r="F33" s="8" t="s">
        <v>74</v>
      </c>
      <c r="G33" s="9" t="s">
        <v>86</v>
      </c>
      <c r="H33" s="8" t="s">
        <v>63</v>
      </c>
      <c r="I33" s="8"/>
      <c r="J33" s="8" t="n">
        <v>2</v>
      </c>
      <c r="K33" s="8"/>
      <c r="L33" s="8"/>
      <c r="M33" s="8"/>
      <c r="N33" s="8"/>
      <c r="O33" s="9" t="s">
        <v>87</v>
      </c>
      <c r="P33" s="9" t="s">
        <v>88</v>
      </c>
    </row>
    <row r="34" customFormat="false" ht="23.85" hidden="false" customHeight="false" outlineLevel="0" collapsed="false">
      <c r="A34" s="10" t="s">
        <v>146</v>
      </c>
      <c r="B34" s="11" t="s">
        <v>147</v>
      </c>
      <c r="C34" s="10" t="s">
        <v>148</v>
      </c>
      <c r="D34" s="11" t="s">
        <v>149</v>
      </c>
      <c r="E34" s="10" t="s">
        <v>85</v>
      </c>
      <c r="F34" s="10" t="s">
        <v>61</v>
      </c>
      <c r="G34" s="11" t="s">
        <v>86</v>
      </c>
      <c r="H34" s="10" t="s">
        <v>63</v>
      </c>
      <c r="I34" s="12" t="s">
        <v>95</v>
      </c>
      <c r="J34" s="10" t="n">
        <v>3</v>
      </c>
      <c r="K34" s="10"/>
      <c r="L34" s="10"/>
      <c r="M34" s="10"/>
      <c r="N34" s="10"/>
      <c r="O34" s="11" t="s">
        <v>87</v>
      </c>
      <c r="P34" s="11" t="s">
        <v>88</v>
      </c>
    </row>
    <row r="35" customFormat="false" ht="35.05" hidden="false" customHeight="false" outlineLevel="0" collapsed="false">
      <c r="A35" s="10" t="s">
        <v>150</v>
      </c>
      <c r="B35" s="11" t="s">
        <v>151</v>
      </c>
      <c r="C35" s="10" t="s">
        <v>148</v>
      </c>
      <c r="D35" s="11" t="s">
        <v>149</v>
      </c>
      <c r="E35" s="10" t="s">
        <v>85</v>
      </c>
      <c r="F35" s="10" t="s">
        <v>61</v>
      </c>
      <c r="G35" s="11" t="s">
        <v>93</v>
      </c>
      <c r="H35" s="10" t="s">
        <v>94</v>
      </c>
      <c r="I35" s="12" t="s">
        <v>95</v>
      </c>
      <c r="J35" s="10" t="n">
        <v>3</v>
      </c>
      <c r="K35" s="10" t="n">
        <v>0.2</v>
      </c>
      <c r="L35" s="10" t="n">
        <v>0.4</v>
      </c>
      <c r="M35" s="10" t="n">
        <v>0.6</v>
      </c>
      <c r="N35" s="10" t="n">
        <v>0.8</v>
      </c>
      <c r="O35" s="11" t="s">
        <v>96</v>
      </c>
      <c r="P35" s="11" t="s">
        <v>97</v>
      </c>
    </row>
    <row r="36" customFormat="false" ht="35.05" hidden="false" customHeight="false" outlineLevel="0" collapsed="false">
      <c r="A36" s="8" t="s">
        <v>152</v>
      </c>
      <c r="B36" s="9" t="s">
        <v>153</v>
      </c>
      <c r="C36" s="8" t="s">
        <v>148</v>
      </c>
      <c r="D36" s="9" t="s">
        <v>149</v>
      </c>
      <c r="E36" s="8" t="s">
        <v>85</v>
      </c>
      <c r="F36" s="8" t="s">
        <v>61</v>
      </c>
      <c r="G36" s="9" t="s">
        <v>93</v>
      </c>
      <c r="H36" s="8" t="s">
        <v>94</v>
      </c>
      <c r="I36" s="8"/>
      <c r="J36" s="8" t="n">
        <v>3</v>
      </c>
      <c r="K36" s="8" t="n">
        <v>20</v>
      </c>
      <c r="L36" s="8" t="n">
        <v>40</v>
      </c>
      <c r="M36" s="8" t="n">
        <v>60</v>
      </c>
      <c r="N36" s="8" t="n">
        <v>80</v>
      </c>
      <c r="O36" s="9" t="s">
        <v>96</v>
      </c>
      <c r="P36" s="9" t="s">
        <v>97</v>
      </c>
    </row>
    <row r="37" customFormat="false" ht="23.85" hidden="false" customHeight="false" outlineLevel="0" collapsed="false">
      <c r="A37" s="8" t="s">
        <v>154</v>
      </c>
      <c r="B37" s="9" t="s">
        <v>155</v>
      </c>
      <c r="C37" s="8" t="s">
        <v>148</v>
      </c>
      <c r="D37" s="9" t="s">
        <v>149</v>
      </c>
      <c r="E37" s="8" t="s">
        <v>85</v>
      </c>
      <c r="F37" s="8" t="s">
        <v>74</v>
      </c>
      <c r="G37" s="9" t="s">
        <v>86</v>
      </c>
      <c r="H37" s="8" t="s">
        <v>63</v>
      </c>
      <c r="I37" s="8"/>
      <c r="J37" s="8" t="n">
        <v>2</v>
      </c>
      <c r="K37" s="8"/>
      <c r="L37" s="8"/>
      <c r="M37" s="8"/>
      <c r="N37" s="8"/>
      <c r="O37" s="9" t="s">
        <v>87</v>
      </c>
      <c r="P37" s="9" t="s">
        <v>88</v>
      </c>
    </row>
    <row r="38" customFormat="false" ht="23.85" hidden="false" customHeight="false" outlineLevel="0" collapsed="false">
      <c r="A38" s="10" t="s">
        <v>156</v>
      </c>
      <c r="B38" s="11" t="s">
        <v>157</v>
      </c>
      <c r="C38" s="10" t="s">
        <v>148</v>
      </c>
      <c r="D38" s="11" t="s">
        <v>149</v>
      </c>
      <c r="E38" s="10" t="s">
        <v>85</v>
      </c>
      <c r="F38" s="10" t="s">
        <v>74</v>
      </c>
      <c r="G38" s="11" t="s">
        <v>86</v>
      </c>
      <c r="H38" s="10" t="s">
        <v>63</v>
      </c>
      <c r="I38" s="12" t="s">
        <v>95</v>
      </c>
      <c r="J38" s="10" t="n">
        <v>2</v>
      </c>
      <c r="K38" s="10"/>
      <c r="L38" s="10"/>
      <c r="M38" s="10"/>
      <c r="N38" s="10"/>
      <c r="O38" s="11" t="s">
        <v>87</v>
      </c>
      <c r="P38" s="11" t="s">
        <v>88</v>
      </c>
    </row>
    <row r="39" customFormat="false" ht="23.85" hidden="false" customHeight="false" outlineLevel="0" collapsed="false">
      <c r="A39" s="8" t="s">
        <v>158</v>
      </c>
      <c r="B39" s="9" t="s">
        <v>159</v>
      </c>
      <c r="C39" s="8" t="s">
        <v>148</v>
      </c>
      <c r="D39" s="9" t="s">
        <v>149</v>
      </c>
      <c r="E39" s="8" t="s">
        <v>85</v>
      </c>
      <c r="F39" s="8" t="s">
        <v>74</v>
      </c>
      <c r="G39" s="9" t="s">
        <v>86</v>
      </c>
      <c r="H39" s="8" t="s">
        <v>63</v>
      </c>
      <c r="I39" s="8"/>
      <c r="J39" s="8" t="n">
        <v>2</v>
      </c>
      <c r="K39" s="8"/>
      <c r="L39" s="8"/>
      <c r="M39" s="8"/>
      <c r="N39" s="8"/>
      <c r="O39" s="9" t="s">
        <v>87</v>
      </c>
      <c r="P39" s="9" t="s">
        <v>88</v>
      </c>
    </row>
    <row r="40" customFormat="false" ht="35.05" hidden="false" customHeight="false" outlineLevel="0" collapsed="false">
      <c r="A40" s="8" t="s">
        <v>160</v>
      </c>
      <c r="B40" s="9" t="s">
        <v>161</v>
      </c>
      <c r="C40" s="8" t="s">
        <v>148</v>
      </c>
      <c r="D40" s="9" t="s">
        <v>149</v>
      </c>
      <c r="E40" s="8" t="s">
        <v>85</v>
      </c>
      <c r="F40" s="8" t="s">
        <v>74</v>
      </c>
      <c r="G40" s="9" t="s">
        <v>93</v>
      </c>
      <c r="H40" s="8" t="s">
        <v>94</v>
      </c>
      <c r="I40" s="8"/>
      <c r="J40" s="8" t="n">
        <v>2</v>
      </c>
      <c r="K40" s="8" t="n">
        <v>20</v>
      </c>
      <c r="L40" s="8" t="n">
        <v>40</v>
      </c>
      <c r="M40" s="8" t="n">
        <v>60</v>
      </c>
      <c r="N40" s="8" t="n">
        <v>80</v>
      </c>
      <c r="O40" s="9" t="s">
        <v>96</v>
      </c>
      <c r="P40" s="9" t="s">
        <v>97</v>
      </c>
    </row>
    <row r="41" customFormat="false" ht="23.85" hidden="false" customHeight="false" outlineLevel="0" collapsed="false">
      <c r="A41" s="8" t="s">
        <v>162</v>
      </c>
      <c r="B41" s="9" t="s">
        <v>163</v>
      </c>
      <c r="C41" s="8" t="s">
        <v>148</v>
      </c>
      <c r="D41" s="9" t="s">
        <v>149</v>
      </c>
      <c r="E41" s="8" t="s">
        <v>85</v>
      </c>
      <c r="F41" s="8" t="s">
        <v>74</v>
      </c>
      <c r="G41" s="9" t="s">
        <v>86</v>
      </c>
      <c r="H41" s="8" t="s">
        <v>63</v>
      </c>
      <c r="I41" s="8"/>
      <c r="J41" s="8" t="n">
        <v>2</v>
      </c>
      <c r="K41" s="8"/>
      <c r="L41" s="8"/>
      <c r="M41" s="8"/>
      <c r="N41" s="8"/>
      <c r="O41" s="9" t="s">
        <v>87</v>
      </c>
      <c r="P41" s="9" t="s">
        <v>88</v>
      </c>
    </row>
    <row r="42" customFormat="false" ht="23.85" hidden="false" customHeight="false" outlineLevel="0" collapsed="false">
      <c r="A42" s="10" t="s">
        <v>164</v>
      </c>
      <c r="B42" s="11" t="s">
        <v>165</v>
      </c>
      <c r="C42" s="10" t="s">
        <v>148</v>
      </c>
      <c r="D42" s="11" t="s">
        <v>149</v>
      </c>
      <c r="E42" s="10" t="s">
        <v>85</v>
      </c>
      <c r="F42" s="10" t="s">
        <v>74</v>
      </c>
      <c r="G42" s="11" t="s">
        <v>86</v>
      </c>
      <c r="H42" s="10" t="s">
        <v>63</v>
      </c>
      <c r="I42" s="12" t="s">
        <v>95</v>
      </c>
      <c r="J42" s="10" t="n">
        <v>2</v>
      </c>
      <c r="K42" s="10"/>
      <c r="L42" s="10"/>
      <c r="M42" s="10"/>
      <c r="N42" s="10"/>
      <c r="O42" s="11" t="s">
        <v>87</v>
      </c>
      <c r="P42" s="11" t="s">
        <v>88</v>
      </c>
    </row>
    <row r="43" customFormat="false" ht="23.85" hidden="false" customHeight="false" outlineLevel="0" collapsed="false">
      <c r="A43" s="8" t="s">
        <v>166</v>
      </c>
      <c r="B43" s="9" t="s">
        <v>167</v>
      </c>
      <c r="C43" s="8" t="s">
        <v>148</v>
      </c>
      <c r="D43" s="9" t="s">
        <v>149</v>
      </c>
      <c r="E43" s="8" t="s">
        <v>85</v>
      </c>
      <c r="F43" s="8" t="s">
        <v>74</v>
      </c>
      <c r="G43" s="9" t="s">
        <v>86</v>
      </c>
      <c r="H43" s="8" t="s">
        <v>63</v>
      </c>
      <c r="I43" s="8"/>
      <c r="J43" s="8" t="n">
        <v>2</v>
      </c>
      <c r="K43" s="8"/>
      <c r="L43" s="8"/>
      <c r="M43" s="8"/>
      <c r="N43" s="8"/>
      <c r="O43" s="9" t="s">
        <v>87</v>
      </c>
      <c r="P43" s="9" t="s">
        <v>88</v>
      </c>
    </row>
    <row r="44" customFormat="false" ht="23.85" hidden="false" customHeight="false" outlineLevel="0" collapsed="false">
      <c r="A44" s="8" t="s">
        <v>168</v>
      </c>
      <c r="B44" s="9" t="s">
        <v>169</v>
      </c>
      <c r="C44" s="8" t="s">
        <v>148</v>
      </c>
      <c r="D44" s="9" t="s">
        <v>149</v>
      </c>
      <c r="E44" s="8" t="s">
        <v>85</v>
      </c>
      <c r="F44" s="8" t="s">
        <v>74</v>
      </c>
      <c r="G44" s="9" t="s">
        <v>86</v>
      </c>
      <c r="H44" s="8" t="s">
        <v>63</v>
      </c>
      <c r="I44" s="8"/>
      <c r="J44" s="8" t="n">
        <v>2</v>
      </c>
      <c r="K44" s="8"/>
      <c r="L44" s="8"/>
      <c r="M44" s="8"/>
      <c r="N44" s="8"/>
      <c r="O44" s="9" t="s">
        <v>87</v>
      </c>
      <c r="P44" s="9" t="s">
        <v>88</v>
      </c>
    </row>
    <row r="45" customFormat="false" ht="23.85" hidden="false" customHeight="false" outlineLevel="0" collapsed="false">
      <c r="A45" s="8" t="s">
        <v>170</v>
      </c>
      <c r="B45" s="9" t="s">
        <v>171</v>
      </c>
      <c r="C45" s="8" t="s">
        <v>148</v>
      </c>
      <c r="D45" s="9" t="s">
        <v>149</v>
      </c>
      <c r="E45" s="8" t="s">
        <v>85</v>
      </c>
      <c r="F45" s="8" t="s">
        <v>74</v>
      </c>
      <c r="G45" s="9" t="s">
        <v>86</v>
      </c>
      <c r="H45" s="8" t="s">
        <v>63</v>
      </c>
      <c r="I45" s="8"/>
      <c r="J45" s="8" t="n">
        <v>2</v>
      </c>
      <c r="K45" s="8"/>
      <c r="L45" s="8"/>
      <c r="M45" s="8"/>
      <c r="N45" s="8"/>
      <c r="O45" s="9" t="s">
        <v>87</v>
      </c>
      <c r="P45" s="9" t="s">
        <v>88</v>
      </c>
    </row>
    <row r="46" customFormat="false" ht="23.85" hidden="false" customHeight="false" outlineLevel="0" collapsed="false">
      <c r="A46" s="8" t="s">
        <v>172</v>
      </c>
      <c r="B46" s="9" t="s">
        <v>173</v>
      </c>
      <c r="C46" s="8" t="s">
        <v>148</v>
      </c>
      <c r="D46" s="9" t="s">
        <v>149</v>
      </c>
      <c r="E46" s="8" t="s">
        <v>85</v>
      </c>
      <c r="F46" s="8" t="s">
        <v>74</v>
      </c>
      <c r="G46" s="9" t="s">
        <v>86</v>
      </c>
      <c r="H46" s="8" t="s">
        <v>63</v>
      </c>
      <c r="I46" s="8"/>
      <c r="J46" s="8" t="n">
        <v>2</v>
      </c>
      <c r="K46" s="8"/>
      <c r="L46" s="8"/>
      <c r="M46" s="8"/>
      <c r="N46" s="8"/>
      <c r="O46" s="9" t="s">
        <v>87</v>
      </c>
      <c r="P46" s="9" t="s">
        <v>88</v>
      </c>
    </row>
    <row r="47" customFormat="false" ht="35.05" hidden="false" customHeight="false" outlineLevel="0" collapsed="false">
      <c r="A47" s="8" t="s">
        <v>174</v>
      </c>
      <c r="B47" s="9" t="s">
        <v>175</v>
      </c>
      <c r="C47" s="8" t="s">
        <v>83</v>
      </c>
      <c r="D47" s="9" t="s">
        <v>84</v>
      </c>
      <c r="E47" s="8" t="s">
        <v>85</v>
      </c>
      <c r="F47" s="8" t="s">
        <v>61</v>
      </c>
      <c r="G47" s="9" t="s">
        <v>93</v>
      </c>
      <c r="H47" s="8" t="s">
        <v>94</v>
      </c>
      <c r="I47" s="8"/>
      <c r="J47" s="8" t="n">
        <v>3</v>
      </c>
      <c r="K47" s="8" t="n">
        <v>4</v>
      </c>
      <c r="L47" s="8" t="n">
        <v>6</v>
      </c>
      <c r="M47" s="8" t="n">
        <v>8</v>
      </c>
      <c r="N47" s="8" t="n">
        <v>10</v>
      </c>
      <c r="O47" s="9" t="s">
        <v>96</v>
      </c>
      <c r="P47" s="9" t="s">
        <v>97</v>
      </c>
    </row>
    <row r="48" customFormat="false" ht="35.05" hidden="false" customHeight="false" outlineLevel="0" collapsed="false">
      <c r="A48" s="8" t="s">
        <v>176</v>
      </c>
      <c r="B48" s="9" t="s">
        <v>177</v>
      </c>
      <c r="C48" s="8" t="s">
        <v>83</v>
      </c>
      <c r="D48" s="9" t="s">
        <v>84</v>
      </c>
      <c r="E48" s="8" t="s">
        <v>85</v>
      </c>
      <c r="F48" s="8" t="s">
        <v>61</v>
      </c>
      <c r="G48" s="9" t="s">
        <v>93</v>
      </c>
      <c r="H48" s="8" t="s">
        <v>94</v>
      </c>
      <c r="I48" s="8"/>
      <c r="J48" s="8" t="n">
        <v>3</v>
      </c>
      <c r="K48" s="8" t="n">
        <v>50</v>
      </c>
      <c r="L48" s="8" t="n">
        <v>65</v>
      </c>
      <c r="M48" s="8" t="n">
        <v>80</v>
      </c>
      <c r="N48" s="8" t="n">
        <v>90</v>
      </c>
      <c r="O48" s="9" t="s">
        <v>96</v>
      </c>
      <c r="P48" s="9" t="s">
        <v>97</v>
      </c>
    </row>
    <row r="49" customFormat="false" ht="35.05" hidden="false" customHeight="false" outlineLevel="0" collapsed="false">
      <c r="A49" s="8" t="s">
        <v>178</v>
      </c>
      <c r="B49" s="9" t="s">
        <v>179</v>
      </c>
      <c r="C49" s="8" t="s">
        <v>83</v>
      </c>
      <c r="D49" s="9" t="s">
        <v>84</v>
      </c>
      <c r="E49" s="8" t="s">
        <v>85</v>
      </c>
      <c r="F49" s="8" t="s">
        <v>61</v>
      </c>
      <c r="G49" s="9" t="s">
        <v>93</v>
      </c>
      <c r="H49" s="8" t="s">
        <v>94</v>
      </c>
      <c r="I49" s="8"/>
      <c r="J49" s="8" t="n">
        <v>3</v>
      </c>
      <c r="K49" s="8" t="n">
        <v>10</v>
      </c>
      <c r="L49" s="8" t="n">
        <v>20</v>
      </c>
      <c r="M49" s="8" t="n">
        <v>30</v>
      </c>
      <c r="N49" s="8" t="n">
        <v>40</v>
      </c>
      <c r="O49" s="9" t="s">
        <v>96</v>
      </c>
      <c r="P49" s="9" t="s">
        <v>97</v>
      </c>
    </row>
    <row r="50" customFormat="false" ht="35.05" hidden="false" customHeight="false" outlineLevel="0" collapsed="false">
      <c r="A50" s="8" t="s">
        <v>180</v>
      </c>
      <c r="B50" s="9" t="s">
        <v>181</v>
      </c>
      <c r="C50" s="8" t="s">
        <v>83</v>
      </c>
      <c r="D50" s="9" t="s">
        <v>84</v>
      </c>
      <c r="E50" s="8" t="s">
        <v>85</v>
      </c>
      <c r="F50" s="8" t="s">
        <v>74</v>
      </c>
      <c r="G50" s="9" t="s">
        <v>93</v>
      </c>
      <c r="H50" s="8" t="s">
        <v>94</v>
      </c>
      <c r="I50" s="8"/>
      <c r="J50" s="8" t="n">
        <v>2</v>
      </c>
      <c r="K50" s="8" t="n">
        <v>10</v>
      </c>
      <c r="L50" s="8" t="n">
        <v>25</v>
      </c>
      <c r="M50" s="8" t="n">
        <v>50</v>
      </c>
      <c r="N50" s="8" t="n">
        <v>75</v>
      </c>
      <c r="O50" s="9" t="s">
        <v>96</v>
      </c>
      <c r="P50" s="9" t="s">
        <v>97</v>
      </c>
    </row>
    <row r="51" customFormat="false" ht="35.05" hidden="false" customHeight="false" outlineLevel="0" collapsed="false">
      <c r="A51" s="10" t="s">
        <v>182</v>
      </c>
      <c r="B51" s="11" t="s">
        <v>183</v>
      </c>
      <c r="C51" s="10" t="s">
        <v>83</v>
      </c>
      <c r="D51" s="11" t="s">
        <v>84</v>
      </c>
      <c r="E51" s="10" t="s">
        <v>85</v>
      </c>
      <c r="F51" s="10" t="s">
        <v>74</v>
      </c>
      <c r="G51" s="11" t="s">
        <v>93</v>
      </c>
      <c r="H51" s="10" t="s">
        <v>94</v>
      </c>
      <c r="I51" s="12" t="s">
        <v>95</v>
      </c>
      <c r="J51" s="10" t="n">
        <v>2</v>
      </c>
      <c r="K51" s="10" t="n">
        <v>10</v>
      </c>
      <c r="L51" s="10" t="n">
        <v>25</v>
      </c>
      <c r="M51" s="10" t="n">
        <v>50</v>
      </c>
      <c r="N51" s="10" t="n">
        <v>75</v>
      </c>
      <c r="O51" s="11" t="s">
        <v>96</v>
      </c>
      <c r="P51" s="11" t="s">
        <v>97</v>
      </c>
    </row>
    <row r="52" customFormat="false" ht="23.85" hidden="false" customHeight="false" outlineLevel="0" collapsed="false">
      <c r="A52" s="8" t="s">
        <v>184</v>
      </c>
      <c r="B52" s="9" t="s">
        <v>185</v>
      </c>
      <c r="C52" s="8" t="s">
        <v>83</v>
      </c>
      <c r="D52" s="9" t="s">
        <v>84</v>
      </c>
      <c r="E52" s="8" t="s">
        <v>85</v>
      </c>
      <c r="F52" s="8" t="s">
        <v>74</v>
      </c>
      <c r="G52" s="9" t="s">
        <v>86</v>
      </c>
      <c r="H52" s="8" t="s">
        <v>63</v>
      </c>
      <c r="I52" s="8"/>
      <c r="J52" s="8" t="n">
        <v>2</v>
      </c>
      <c r="K52" s="8"/>
      <c r="L52" s="8"/>
      <c r="M52" s="8"/>
      <c r="N52" s="8"/>
      <c r="O52" s="9" t="s">
        <v>87</v>
      </c>
      <c r="P52" s="9" t="s">
        <v>88</v>
      </c>
    </row>
    <row r="53" customFormat="false" ht="23.85" hidden="false" customHeight="false" outlineLevel="0" collapsed="false">
      <c r="A53" s="10" t="s">
        <v>186</v>
      </c>
      <c r="B53" s="11" t="s">
        <v>187</v>
      </c>
      <c r="C53" s="10" t="s">
        <v>83</v>
      </c>
      <c r="D53" s="11" t="s">
        <v>84</v>
      </c>
      <c r="E53" s="10" t="s">
        <v>85</v>
      </c>
      <c r="F53" s="10" t="s">
        <v>74</v>
      </c>
      <c r="G53" s="11" t="s">
        <v>86</v>
      </c>
      <c r="H53" s="10" t="s">
        <v>63</v>
      </c>
      <c r="I53" s="12" t="s">
        <v>95</v>
      </c>
      <c r="J53" s="10" t="n">
        <v>2</v>
      </c>
      <c r="K53" s="10"/>
      <c r="L53" s="10"/>
      <c r="M53" s="10"/>
      <c r="N53" s="10"/>
      <c r="O53" s="11" t="s">
        <v>87</v>
      </c>
      <c r="P53" s="11" t="s">
        <v>88</v>
      </c>
    </row>
    <row r="54" customFormat="false" ht="23.85" hidden="false" customHeight="false" outlineLevel="0" collapsed="false">
      <c r="A54" s="8" t="s">
        <v>188</v>
      </c>
      <c r="B54" s="9" t="s">
        <v>189</v>
      </c>
      <c r="C54" s="8" t="s">
        <v>83</v>
      </c>
      <c r="D54" s="9" t="s">
        <v>84</v>
      </c>
      <c r="E54" s="8" t="s">
        <v>85</v>
      </c>
      <c r="F54" s="8" t="s">
        <v>74</v>
      </c>
      <c r="G54" s="9" t="s">
        <v>86</v>
      </c>
      <c r="H54" s="8" t="s">
        <v>63</v>
      </c>
      <c r="I54" s="8"/>
      <c r="J54" s="8" t="n">
        <v>2</v>
      </c>
      <c r="K54" s="8"/>
      <c r="L54" s="8"/>
      <c r="M54" s="8"/>
      <c r="N54" s="8"/>
      <c r="O54" s="9" t="s">
        <v>87</v>
      </c>
      <c r="P54" s="9" t="s">
        <v>88</v>
      </c>
    </row>
    <row r="55" customFormat="false" ht="23.85" hidden="false" customHeight="false" outlineLevel="0" collapsed="false">
      <c r="A55" s="8" t="s">
        <v>190</v>
      </c>
      <c r="B55" s="9" t="s">
        <v>191</v>
      </c>
      <c r="C55" s="8" t="s">
        <v>83</v>
      </c>
      <c r="D55" s="9" t="s">
        <v>84</v>
      </c>
      <c r="E55" s="8" t="s">
        <v>85</v>
      </c>
      <c r="F55" s="8" t="s">
        <v>74</v>
      </c>
      <c r="G55" s="9" t="s">
        <v>86</v>
      </c>
      <c r="H55" s="8" t="s">
        <v>63</v>
      </c>
      <c r="I55" s="8"/>
      <c r="J55" s="8" t="n">
        <v>2</v>
      </c>
      <c r="K55" s="8"/>
      <c r="L55" s="8"/>
      <c r="M55" s="8"/>
      <c r="N55" s="8"/>
      <c r="O55" s="9" t="s">
        <v>87</v>
      </c>
      <c r="P55" s="9" t="s">
        <v>88</v>
      </c>
    </row>
    <row r="56" customFormat="false" ht="35.05" hidden="false" customHeight="false" outlineLevel="0" collapsed="false">
      <c r="A56" s="8" t="s">
        <v>192</v>
      </c>
      <c r="B56" s="9" t="s">
        <v>193</v>
      </c>
      <c r="C56" s="8" t="s">
        <v>83</v>
      </c>
      <c r="D56" s="9" t="s">
        <v>84</v>
      </c>
      <c r="E56" s="8" t="s">
        <v>85</v>
      </c>
      <c r="F56" s="8" t="s">
        <v>74</v>
      </c>
      <c r="G56" s="9" t="s">
        <v>93</v>
      </c>
      <c r="H56" s="8" t="s">
        <v>94</v>
      </c>
      <c r="I56" s="8"/>
      <c r="J56" s="8" t="n">
        <v>2</v>
      </c>
      <c r="K56" s="8" t="n">
        <v>2</v>
      </c>
      <c r="L56" s="8" t="n">
        <v>5</v>
      </c>
      <c r="M56" s="8" t="n">
        <v>10</v>
      </c>
      <c r="N56" s="8" t="n">
        <v>20</v>
      </c>
      <c r="O56" s="9" t="s">
        <v>96</v>
      </c>
      <c r="P56" s="9" t="s">
        <v>97</v>
      </c>
    </row>
    <row r="57" customFormat="false" ht="23.85" hidden="false" customHeight="false" outlineLevel="0" collapsed="false">
      <c r="A57" s="8" t="s">
        <v>194</v>
      </c>
      <c r="B57" s="9" t="s">
        <v>195</v>
      </c>
      <c r="C57" s="8" t="s">
        <v>83</v>
      </c>
      <c r="D57" s="9" t="s">
        <v>84</v>
      </c>
      <c r="E57" s="8" t="s">
        <v>85</v>
      </c>
      <c r="F57" s="8" t="s">
        <v>74</v>
      </c>
      <c r="G57" s="9" t="s">
        <v>86</v>
      </c>
      <c r="H57" s="8" t="s">
        <v>63</v>
      </c>
      <c r="I57" s="8"/>
      <c r="J57" s="8" t="n">
        <v>2</v>
      </c>
      <c r="K57" s="8"/>
      <c r="L57" s="8"/>
      <c r="M57" s="8"/>
      <c r="N57" s="8"/>
      <c r="O57" s="9" t="s">
        <v>87</v>
      </c>
      <c r="P57" s="9" t="s">
        <v>88</v>
      </c>
    </row>
    <row r="58" customFormat="false" ht="35.05" hidden="false" customHeight="false" outlineLevel="0" collapsed="false">
      <c r="A58" s="8" t="s">
        <v>196</v>
      </c>
      <c r="B58" s="9" t="s">
        <v>197</v>
      </c>
      <c r="C58" s="8" t="s">
        <v>83</v>
      </c>
      <c r="D58" s="9" t="s">
        <v>84</v>
      </c>
      <c r="E58" s="8" t="s">
        <v>85</v>
      </c>
      <c r="F58" s="8" t="s">
        <v>74</v>
      </c>
      <c r="G58" s="9" t="s">
        <v>93</v>
      </c>
      <c r="H58" s="8" t="s">
        <v>94</v>
      </c>
      <c r="I58" s="8"/>
      <c r="J58" s="8" t="n">
        <v>2</v>
      </c>
      <c r="K58" s="8" t="n">
        <v>20</v>
      </c>
      <c r="L58" s="8" t="n">
        <v>35</v>
      </c>
      <c r="M58" s="8" t="n">
        <v>45</v>
      </c>
      <c r="N58" s="8" t="n">
        <v>50</v>
      </c>
      <c r="O58" s="9" t="s">
        <v>96</v>
      </c>
      <c r="P58" s="9" t="s">
        <v>97</v>
      </c>
    </row>
    <row r="59" customFormat="false" ht="35.05" hidden="false" customHeight="false" outlineLevel="0" collapsed="false">
      <c r="A59" s="8" t="s">
        <v>198</v>
      </c>
      <c r="B59" s="9" t="s">
        <v>199</v>
      </c>
      <c r="C59" s="8" t="s">
        <v>200</v>
      </c>
      <c r="D59" s="9" t="s">
        <v>201</v>
      </c>
      <c r="E59" s="8" t="s">
        <v>202</v>
      </c>
      <c r="F59" s="8" t="s">
        <v>61</v>
      </c>
      <c r="G59" s="9" t="s">
        <v>93</v>
      </c>
      <c r="H59" s="8" t="s">
        <v>94</v>
      </c>
      <c r="I59" s="8"/>
      <c r="J59" s="8" t="n">
        <v>3</v>
      </c>
      <c r="K59" s="8" t="n">
        <v>25</v>
      </c>
      <c r="L59" s="8" t="n">
        <v>35</v>
      </c>
      <c r="M59" s="8" t="n">
        <v>45</v>
      </c>
      <c r="N59" s="8" t="n">
        <v>55</v>
      </c>
      <c r="O59" s="9" t="s">
        <v>96</v>
      </c>
      <c r="P59" s="9" t="s">
        <v>97</v>
      </c>
    </row>
    <row r="60" customFormat="false" ht="35.05" hidden="false" customHeight="false" outlineLevel="0" collapsed="false">
      <c r="A60" s="8" t="s">
        <v>203</v>
      </c>
      <c r="B60" s="9" t="s">
        <v>204</v>
      </c>
      <c r="C60" s="8" t="s">
        <v>200</v>
      </c>
      <c r="D60" s="9" t="s">
        <v>201</v>
      </c>
      <c r="E60" s="8" t="s">
        <v>202</v>
      </c>
      <c r="F60" s="8" t="s">
        <v>61</v>
      </c>
      <c r="G60" s="9" t="s">
        <v>93</v>
      </c>
      <c r="H60" s="8" t="s">
        <v>94</v>
      </c>
      <c r="I60" s="8"/>
      <c r="J60" s="8" t="n">
        <v>3</v>
      </c>
      <c r="K60" s="8" t="n">
        <v>0.1</v>
      </c>
      <c r="L60" s="8" t="n">
        <v>0.5</v>
      </c>
      <c r="M60" s="8" t="n">
        <v>1</v>
      </c>
      <c r="N60" s="8" t="n">
        <v>2</v>
      </c>
      <c r="O60" s="9" t="s">
        <v>96</v>
      </c>
      <c r="P60" s="9" t="s">
        <v>97</v>
      </c>
    </row>
    <row r="61" customFormat="false" ht="35.05" hidden="false" customHeight="false" outlineLevel="0" collapsed="false">
      <c r="A61" s="8" t="s">
        <v>205</v>
      </c>
      <c r="B61" s="9" t="s">
        <v>206</v>
      </c>
      <c r="C61" s="8" t="s">
        <v>200</v>
      </c>
      <c r="D61" s="9" t="s">
        <v>201</v>
      </c>
      <c r="E61" s="8" t="s">
        <v>202</v>
      </c>
      <c r="F61" s="8" t="s">
        <v>61</v>
      </c>
      <c r="G61" s="9" t="s">
        <v>93</v>
      </c>
      <c r="H61" s="8" t="s">
        <v>94</v>
      </c>
      <c r="I61" s="8"/>
      <c r="J61" s="8" t="n">
        <v>3</v>
      </c>
      <c r="K61" s="8" t="n">
        <v>30</v>
      </c>
      <c r="L61" s="8" t="n">
        <v>45</v>
      </c>
      <c r="M61" s="8" t="n">
        <v>60</v>
      </c>
      <c r="N61" s="8" t="n">
        <v>75</v>
      </c>
      <c r="O61" s="9" t="s">
        <v>96</v>
      </c>
      <c r="P61" s="9" t="s">
        <v>97</v>
      </c>
    </row>
    <row r="62" customFormat="false" ht="23.85" hidden="false" customHeight="false" outlineLevel="0" collapsed="false">
      <c r="A62" s="8" t="s">
        <v>207</v>
      </c>
      <c r="B62" s="9" t="s">
        <v>208</v>
      </c>
      <c r="C62" s="8" t="s">
        <v>200</v>
      </c>
      <c r="D62" s="9" t="s">
        <v>201</v>
      </c>
      <c r="E62" s="8" t="s">
        <v>202</v>
      </c>
      <c r="F62" s="8" t="s">
        <v>74</v>
      </c>
      <c r="G62" s="9" t="s">
        <v>86</v>
      </c>
      <c r="H62" s="8" t="s">
        <v>63</v>
      </c>
      <c r="I62" s="8"/>
      <c r="J62" s="8" t="n">
        <v>2</v>
      </c>
      <c r="K62" s="8"/>
      <c r="L62" s="8"/>
      <c r="M62" s="8"/>
      <c r="N62" s="8"/>
      <c r="O62" s="9" t="s">
        <v>87</v>
      </c>
      <c r="P62" s="9" t="s">
        <v>88</v>
      </c>
    </row>
    <row r="63" customFormat="false" ht="23.85" hidden="false" customHeight="false" outlineLevel="0" collapsed="false">
      <c r="A63" s="8" t="s">
        <v>209</v>
      </c>
      <c r="B63" s="9" t="s">
        <v>210</v>
      </c>
      <c r="C63" s="8" t="s">
        <v>200</v>
      </c>
      <c r="D63" s="9" t="s">
        <v>201</v>
      </c>
      <c r="E63" s="8" t="s">
        <v>202</v>
      </c>
      <c r="F63" s="8" t="s">
        <v>74</v>
      </c>
      <c r="G63" s="9" t="s">
        <v>86</v>
      </c>
      <c r="H63" s="8" t="s">
        <v>63</v>
      </c>
      <c r="I63" s="8"/>
      <c r="J63" s="8" t="n">
        <v>2</v>
      </c>
      <c r="K63" s="8"/>
      <c r="L63" s="8"/>
      <c r="M63" s="8"/>
      <c r="N63" s="8"/>
      <c r="O63" s="9" t="s">
        <v>87</v>
      </c>
      <c r="P63" s="9" t="s">
        <v>88</v>
      </c>
    </row>
    <row r="64" customFormat="false" ht="23.85" hidden="false" customHeight="false" outlineLevel="0" collapsed="false">
      <c r="A64" s="8" t="s">
        <v>211</v>
      </c>
      <c r="B64" s="9" t="s">
        <v>212</v>
      </c>
      <c r="C64" s="8" t="s">
        <v>200</v>
      </c>
      <c r="D64" s="9" t="s">
        <v>201</v>
      </c>
      <c r="E64" s="8" t="s">
        <v>202</v>
      </c>
      <c r="F64" s="8" t="s">
        <v>74</v>
      </c>
      <c r="G64" s="9" t="s">
        <v>86</v>
      </c>
      <c r="H64" s="8" t="s">
        <v>63</v>
      </c>
      <c r="I64" s="8"/>
      <c r="J64" s="8" t="n">
        <v>2</v>
      </c>
      <c r="K64" s="8"/>
      <c r="L64" s="8"/>
      <c r="M64" s="8"/>
      <c r="N64" s="8"/>
      <c r="O64" s="9" t="s">
        <v>87</v>
      </c>
      <c r="P64" s="9" t="s">
        <v>88</v>
      </c>
    </row>
    <row r="65" customFormat="false" ht="35.05" hidden="false" customHeight="false" outlineLevel="0" collapsed="false">
      <c r="A65" s="8" t="s">
        <v>213</v>
      </c>
      <c r="B65" s="9" t="s">
        <v>214</v>
      </c>
      <c r="C65" s="8" t="s">
        <v>200</v>
      </c>
      <c r="D65" s="9" t="s">
        <v>201</v>
      </c>
      <c r="E65" s="8" t="s">
        <v>202</v>
      </c>
      <c r="F65" s="8" t="s">
        <v>74</v>
      </c>
      <c r="G65" s="9" t="s">
        <v>93</v>
      </c>
      <c r="H65" s="8" t="s">
        <v>94</v>
      </c>
      <c r="I65" s="8"/>
      <c r="J65" s="8" t="n">
        <v>2</v>
      </c>
      <c r="K65" s="8" t="n">
        <v>5</v>
      </c>
      <c r="L65" s="8" t="n">
        <v>15</v>
      </c>
      <c r="M65" s="8" t="n">
        <v>30</v>
      </c>
      <c r="N65" s="8" t="n">
        <v>50</v>
      </c>
      <c r="O65" s="9" t="s">
        <v>96</v>
      </c>
      <c r="P65" s="9" t="s">
        <v>97</v>
      </c>
    </row>
    <row r="66" customFormat="false" ht="23.85" hidden="false" customHeight="false" outlineLevel="0" collapsed="false">
      <c r="A66" s="8" t="s">
        <v>215</v>
      </c>
      <c r="B66" s="9" t="s">
        <v>216</v>
      </c>
      <c r="C66" s="8" t="s">
        <v>200</v>
      </c>
      <c r="D66" s="9" t="s">
        <v>201</v>
      </c>
      <c r="E66" s="8" t="s">
        <v>202</v>
      </c>
      <c r="F66" s="8" t="s">
        <v>74</v>
      </c>
      <c r="G66" s="9" t="s">
        <v>86</v>
      </c>
      <c r="H66" s="8" t="s">
        <v>63</v>
      </c>
      <c r="I66" s="8"/>
      <c r="J66" s="8" t="n">
        <v>2</v>
      </c>
      <c r="K66" s="8"/>
      <c r="L66" s="8"/>
      <c r="M66" s="8"/>
      <c r="N66" s="8"/>
      <c r="O66" s="9" t="s">
        <v>87</v>
      </c>
      <c r="P66" s="9" t="s">
        <v>88</v>
      </c>
    </row>
    <row r="67" customFormat="false" ht="23.85" hidden="false" customHeight="false" outlineLevel="0" collapsed="false">
      <c r="A67" s="8" t="s">
        <v>217</v>
      </c>
      <c r="B67" s="9" t="s">
        <v>218</v>
      </c>
      <c r="C67" s="8" t="s">
        <v>200</v>
      </c>
      <c r="D67" s="9" t="s">
        <v>201</v>
      </c>
      <c r="E67" s="8" t="s">
        <v>202</v>
      </c>
      <c r="F67" s="8" t="s">
        <v>74</v>
      </c>
      <c r="G67" s="9" t="s">
        <v>86</v>
      </c>
      <c r="H67" s="8" t="s">
        <v>63</v>
      </c>
      <c r="I67" s="8"/>
      <c r="J67" s="8" t="n">
        <v>2</v>
      </c>
      <c r="K67" s="8"/>
      <c r="L67" s="8"/>
      <c r="M67" s="8"/>
      <c r="N67" s="8"/>
      <c r="O67" s="9" t="s">
        <v>87</v>
      </c>
      <c r="P67" s="9" t="s">
        <v>88</v>
      </c>
    </row>
    <row r="68" customFormat="false" ht="23.85" hidden="false" customHeight="false" outlineLevel="0" collapsed="false">
      <c r="A68" s="8" t="s">
        <v>219</v>
      </c>
      <c r="B68" s="9" t="s">
        <v>220</v>
      </c>
      <c r="C68" s="8" t="s">
        <v>200</v>
      </c>
      <c r="D68" s="9" t="s">
        <v>201</v>
      </c>
      <c r="E68" s="8" t="s">
        <v>202</v>
      </c>
      <c r="F68" s="8" t="s">
        <v>74</v>
      </c>
      <c r="G68" s="9" t="s">
        <v>86</v>
      </c>
      <c r="H68" s="8" t="s">
        <v>63</v>
      </c>
      <c r="I68" s="8"/>
      <c r="J68" s="8" t="n">
        <v>2</v>
      </c>
      <c r="K68" s="8"/>
      <c r="L68" s="8"/>
      <c r="M68" s="8"/>
      <c r="N68" s="8"/>
      <c r="O68" s="9" t="s">
        <v>87</v>
      </c>
      <c r="P68" s="9" t="s">
        <v>88</v>
      </c>
    </row>
    <row r="69" customFormat="false" ht="23.85" hidden="false" customHeight="false" outlineLevel="0" collapsed="false">
      <c r="A69" s="8" t="s">
        <v>221</v>
      </c>
      <c r="B69" s="9" t="s">
        <v>222</v>
      </c>
      <c r="C69" s="8" t="s">
        <v>200</v>
      </c>
      <c r="D69" s="9" t="s">
        <v>201</v>
      </c>
      <c r="E69" s="8" t="s">
        <v>202</v>
      </c>
      <c r="F69" s="8" t="s">
        <v>74</v>
      </c>
      <c r="G69" s="9" t="s">
        <v>86</v>
      </c>
      <c r="H69" s="8" t="s">
        <v>63</v>
      </c>
      <c r="I69" s="8"/>
      <c r="J69" s="8" t="n">
        <v>2</v>
      </c>
      <c r="K69" s="8"/>
      <c r="L69" s="8"/>
      <c r="M69" s="8"/>
      <c r="N69" s="8"/>
      <c r="O69" s="9" t="s">
        <v>87</v>
      </c>
      <c r="P69" s="9" t="s">
        <v>88</v>
      </c>
    </row>
    <row r="70" customFormat="false" ht="23.85" hidden="false" customHeight="false" outlineLevel="0" collapsed="false">
      <c r="A70" s="8" t="s">
        <v>223</v>
      </c>
      <c r="B70" s="9" t="s">
        <v>224</v>
      </c>
      <c r="C70" s="8" t="s">
        <v>200</v>
      </c>
      <c r="D70" s="9" t="s">
        <v>201</v>
      </c>
      <c r="E70" s="8" t="s">
        <v>202</v>
      </c>
      <c r="F70" s="8" t="s">
        <v>74</v>
      </c>
      <c r="G70" s="9" t="s">
        <v>86</v>
      </c>
      <c r="H70" s="8" t="s">
        <v>63</v>
      </c>
      <c r="I70" s="8"/>
      <c r="J70" s="8" t="n">
        <v>2</v>
      </c>
      <c r="K70" s="8"/>
      <c r="L70" s="8"/>
      <c r="M70" s="8"/>
      <c r="N70" s="8"/>
      <c r="O70" s="9" t="s">
        <v>87</v>
      </c>
      <c r="P70" s="9" t="s">
        <v>88</v>
      </c>
    </row>
    <row r="71" customFormat="false" ht="35.05" hidden="false" customHeight="false" outlineLevel="0" collapsed="false">
      <c r="A71" s="8" t="s">
        <v>225</v>
      </c>
      <c r="B71" s="9" t="s">
        <v>226</v>
      </c>
      <c r="C71" s="8" t="s">
        <v>200</v>
      </c>
      <c r="D71" s="9" t="s">
        <v>201</v>
      </c>
      <c r="E71" s="8" t="s">
        <v>202</v>
      </c>
      <c r="F71" s="8" t="s">
        <v>74</v>
      </c>
      <c r="G71" s="9" t="s">
        <v>93</v>
      </c>
      <c r="H71" s="8" t="s">
        <v>94</v>
      </c>
      <c r="I71" s="8"/>
      <c r="J71" s="8" t="n">
        <v>2</v>
      </c>
      <c r="K71" s="8" t="n">
        <v>10</v>
      </c>
      <c r="L71" s="8" t="n">
        <v>25</v>
      </c>
      <c r="M71" s="8" t="n">
        <v>50</v>
      </c>
      <c r="N71" s="8" t="n">
        <v>75</v>
      </c>
      <c r="O71" s="9" t="s">
        <v>96</v>
      </c>
      <c r="P71" s="9" t="s">
        <v>97</v>
      </c>
    </row>
    <row r="72" customFormat="false" ht="35.05" hidden="false" customHeight="false" outlineLevel="0" collapsed="false">
      <c r="A72" s="8" t="s">
        <v>227</v>
      </c>
      <c r="B72" s="9" t="s">
        <v>228</v>
      </c>
      <c r="C72" s="8" t="s">
        <v>229</v>
      </c>
      <c r="D72" s="9" t="s">
        <v>230</v>
      </c>
      <c r="E72" s="8" t="s">
        <v>202</v>
      </c>
      <c r="F72" s="8" t="s">
        <v>61</v>
      </c>
      <c r="G72" s="9" t="s">
        <v>93</v>
      </c>
      <c r="H72" s="8" t="s">
        <v>94</v>
      </c>
      <c r="I72" s="8"/>
      <c r="J72" s="8" t="n">
        <v>3</v>
      </c>
      <c r="K72" s="8" t="n">
        <v>1</v>
      </c>
      <c r="L72" s="8" t="n">
        <v>5</v>
      </c>
      <c r="M72" s="8" t="n">
        <v>20</v>
      </c>
      <c r="N72" s="8" t="n">
        <v>50</v>
      </c>
      <c r="O72" s="9" t="s">
        <v>96</v>
      </c>
      <c r="P72" s="9" t="s">
        <v>97</v>
      </c>
    </row>
    <row r="73" customFormat="false" ht="23.85" hidden="false" customHeight="false" outlineLevel="0" collapsed="false">
      <c r="A73" s="8" t="s">
        <v>231</v>
      </c>
      <c r="B73" s="9" t="s">
        <v>232</v>
      </c>
      <c r="C73" s="8" t="s">
        <v>229</v>
      </c>
      <c r="D73" s="9" t="s">
        <v>230</v>
      </c>
      <c r="E73" s="8" t="s">
        <v>202</v>
      </c>
      <c r="F73" s="8" t="s">
        <v>74</v>
      </c>
      <c r="G73" s="9" t="s">
        <v>86</v>
      </c>
      <c r="H73" s="8" t="s">
        <v>63</v>
      </c>
      <c r="I73" s="8"/>
      <c r="J73" s="8" t="n">
        <v>2</v>
      </c>
      <c r="K73" s="8"/>
      <c r="L73" s="8"/>
      <c r="M73" s="8"/>
      <c r="N73" s="8"/>
      <c r="O73" s="9" t="s">
        <v>87</v>
      </c>
      <c r="P73" s="9" t="s">
        <v>88</v>
      </c>
    </row>
    <row r="74" customFormat="false" ht="35.05" hidden="false" customHeight="false" outlineLevel="0" collapsed="false">
      <c r="A74" s="8" t="s">
        <v>233</v>
      </c>
      <c r="B74" s="9" t="s">
        <v>234</v>
      </c>
      <c r="C74" s="8" t="s">
        <v>229</v>
      </c>
      <c r="D74" s="9" t="s">
        <v>230</v>
      </c>
      <c r="E74" s="8" t="s">
        <v>202</v>
      </c>
      <c r="F74" s="8" t="s">
        <v>74</v>
      </c>
      <c r="G74" s="9" t="s">
        <v>93</v>
      </c>
      <c r="H74" s="8" t="s">
        <v>94</v>
      </c>
      <c r="I74" s="8"/>
      <c r="J74" s="8" t="n">
        <v>2</v>
      </c>
      <c r="K74" s="8" t="n">
        <v>2</v>
      </c>
      <c r="L74" s="8" t="n">
        <v>10</v>
      </c>
      <c r="M74" s="8" t="n">
        <v>25</v>
      </c>
      <c r="N74" s="8" t="n">
        <v>50</v>
      </c>
      <c r="O74" s="9" t="s">
        <v>96</v>
      </c>
      <c r="P74" s="9" t="s">
        <v>97</v>
      </c>
    </row>
    <row r="75" customFormat="false" ht="35.05" hidden="false" customHeight="false" outlineLevel="0" collapsed="false">
      <c r="A75" s="8" t="s">
        <v>235</v>
      </c>
      <c r="B75" s="9" t="s">
        <v>236</v>
      </c>
      <c r="C75" s="8" t="s">
        <v>229</v>
      </c>
      <c r="D75" s="9" t="s">
        <v>230</v>
      </c>
      <c r="E75" s="8" t="s">
        <v>202</v>
      </c>
      <c r="F75" s="8" t="s">
        <v>74</v>
      </c>
      <c r="G75" s="9" t="s">
        <v>93</v>
      </c>
      <c r="H75" s="8" t="s">
        <v>94</v>
      </c>
      <c r="I75" s="8"/>
      <c r="J75" s="8" t="n">
        <v>2</v>
      </c>
      <c r="K75" s="8" t="n">
        <v>10</v>
      </c>
      <c r="L75" s="8" t="n">
        <v>25</v>
      </c>
      <c r="M75" s="8" t="n">
        <v>50</v>
      </c>
      <c r="N75" s="8" t="n">
        <v>75</v>
      </c>
      <c r="O75" s="9" t="s">
        <v>96</v>
      </c>
      <c r="P75" s="9" t="s">
        <v>97</v>
      </c>
    </row>
    <row r="76" customFormat="false" ht="35.05" hidden="false" customHeight="false" outlineLevel="0" collapsed="false">
      <c r="A76" s="8" t="s">
        <v>237</v>
      </c>
      <c r="B76" s="9" t="s">
        <v>238</v>
      </c>
      <c r="C76" s="8" t="s">
        <v>229</v>
      </c>
      <c r="D76" s="9" t="s">
        <v>230</v>
      </c>
      <c r="E76" s="8" t="s">
        <v>202</v>
      </c>
      <c r="F76" s="8" t="s">
        <v>74</v>
      </c>
      <c r="G76" s="9" t="s">
        <v>93</v>
      </c>
      <c r="H76" s="8" t="s">
        <v>94</v>
      </c>
      <c r="I76" s="8"/>
      <c r="J76" s="8" t="n">
        <v>2</v>
      </c>
      <c r="K76" s="8" t="n">
        <v>10</v>
      </c>
      <c r="L76" s="8" t="n">
        <v>25</v>
      </c>
      <c r="M76" s="8" t="n">
        <v>50</v>
      </c>
      <c r="N76" s="8" t="n">
        <v>75</v>
      </c>
      <c r="O76" s="9" t="s">
        <v>96</v>
      </c>
      <c r="P76" s="9" t="s">
        <v>97</v>
      </c>
    </row>
    <row r="77" customFormat="false" ht="35.05" hidden="false" customHeight="false" outlineLevel="0" collapsed="false">
      <c r="A77" s="8" t="s">
        <v>239</v>
      </c>
      <c r="B77" s="9" t="s">
        <v>240</v>
      </c>
      <c r="C77" s="8" t="s">
        <v>229</v>
      </c>
      <c r="D77" s="9" t="s">
        <v>230</v>
      </c>
      <c r="E77" s="8" t="s">
        <v>202</v>
      </c>
      <c r="F77" s="8" t="s">
        <v>74</v>
      </c>
      <c r="G77" s="9" t="s">
        <v>93</v>
      </c>
      <c r="H77" s="8" t="s">
        <v>94</v>
      </c>
      <c r="I77" s="8"/>
      <c r="J77" s="8" t="n">
        <v>2</v>
      </c>
      <c r="K77" s="8" t="n">
        <v>10</v>
      </c>
      <c r="L77" s="8" t="n">
        <v>25</v>
      </c>
      <c r="M77" s="8" t="n">
        <v>50</v>
      </c>
      <c r="N77" s="8" t="n">
        <v>75</v>
      </c>
      <c r="O77" s="9" t="s">
        <v>96</v>
      </c>
      <c r="P77" s="9" t="s">
        <v>97</v>
      </c>
    </row>
    <row r="78" customFormat="false" ht="35.05" hidden="false" customHeight="false" outlineLevel="0" collapsed="false">
      <c r="A78" s="8" t="s">
        <v>241</v>
      </c>
      <c r="B78" s="9" t="s">
        <v>242</v>
      </c>
      <c r="C78" s="8" t="s">
        <v>229</v>
      </c>
      <c r="D78" s="9" t="s">
        <v>230</v>
      </c>
      <c r="E78" s="8" t="s">
        <v>202</v>
      </c>
      <c r="F78" s="8" t="s">
        <v>74</v>
      </c>
      <c r="G78" s="9" t="s">
        <v>93</v>
      </c>
      <c r="H78" s="8" t="s">
        <v>94</v>
      </c>
      <c r="I78" s="8"/>
      <c r="J78" s="8" t="n">
        <v>2</v>
      </c>
      <c r="K78" s="8" t="n">
        <v>10</v>
      </c>
      <c r="L78" s="8" t="n">
        <v>25</v>
      </c>
      <c r="M78" s="8" t="n">
        <v>50</v>
      </c>
      <c r="N78" s="8" t="n">
        <v>75</v>
      </c>
      <c r="O78" s="9" t="s">
        <v>96</v>
      </c>
      <c r="P78" s="9" t="s">
        <v>97</v>
      </c>
    </row>
    <row r="79" customFormat="false" ht="23.85" hidden="false" customHeight="false" outlineLevel="0" collapsed="false">
      <c r="A79" s="8" t="s">
        <v>243</v>
      </c>
      <c r="B79" s="9" t="s">
        <v>244</v>
      </c>
      <c r="C79" s="8" t="s">
        <v>229</v>
      </c>
      <c r="D79" s="9" t="s">
        <v>230</v>
      </c>
      <c r="E79" s="8" t="s">
        <v>202</v>
      </c>
      <c r="F79" s="8" t="s">
        <v>74</v>
      </c>
      <c r="G79" s="9" t="s">
        <v>86</v>
      </c>
      <c r="H79" s="8" t="s">
        <v>63</v>
      </c>
      <c r="I79" s="8"/>
      <c r="J79" s="8" t="n">
        <v>2</v>
      </c>
      <c r="K79" s="8"/>
      <c r="L79" s="8"/>
      <c r="M79" s="8"/>
      <c r="N79" s="8"/>
      <c r="O79" s="9" t="s">
        <v>87</v>
      </c>
      <c r="P79" s="9" t="s">
        <v>88</v>
      </c>
    </row>
    <row r="80" customFormat="false" ht="35.05" hidden="false" customHeight="false" outlineLevel="0" collapsed="false">
      <c r="A80" s="10" t="s">
        <v>245</v>
      </c>
      <c r="B80" s="11" t="s">
        <v>246</v>
      </c>
      <c r="C80" s="10" t="s">
        <v>229</v>
      </c>
      <c r="D80" s="11" t="s">
        <v>230</v>
      </c>
      <c r="E80" s="10" t="s">
        <v>202</v>
      </c>
      <c r="F80" s="10" t="s">
        <v>74</v>
      </c>
      <c r="G80" s="11" t="s">
        <v>86</v>
      </c>
      <c r="H80" s="10" t="s">
        <v>63</v>
      </c>
      <c r="I80" s="12" t="s">
        <v>95</v>
      </c>
      <c r="J80" s="10" t="n">
        <v>2</v>
      </c>
      <c r="K80" s="10"/>
      <c r="L80" s="10"/>
      <c r="M80" s="10"/>
      <c r="N80" s="10"/>
      <c r="O80" s="11" t="s">
        <v>87</v>
      </c>
      <c r="P80" s="11" t="s">
        <v>247</v>
      </c>
    </row>
    <row r="81" customFormat="false" ht="23.85" hidden="false" customHeight="false" outlineLevel="0" collapsed="false">
      <c r="A81" s="8" t="s">
        <v>248</v>
      </c>
      <c r="B81" s="9" t="s">
        <v>249</v>
      </c>
      <c r="C81" s="8" t="s">
        <v>229</v>
      </c>
      <c r="D81" s="9" t="s">
        <v>230</v>
      </c>
      <c r="E81" s="8" t="s">
        <v>202</v>
      </c>
      <c r="F81" s="8" t="s">
        <v>74</v>
      </c>
      <c r="G81" s="9" t="s">
        <v>86</v>
      </c>
      <c r="H81" s="8" t="s">
        <v>63</v>
      </c>
      <c r="I81" s="8"/>
      <c r="J81" s="8" t="n">
        <v>2</v>
      </c>
      <c r="K81" s="8"/>
      <c r="L81" s="8"/>
      <c r="M81" s="8"/>
      <c r="N81" s="8"/>
      <c r="O81" s="9" t="s">
        <v>87</v>
      </c>
      <c r="P81" s="9" t="s">
        <v>250</v>
      </c>
    </row>
    <row r="82" customFormat="false" ht="23.85" hidden="false" customHeight="false" outlineLevel="0" collapsed="false">
      <c r="A82" s="8" t="s">
        <v>251</v>
      </c>
      <c r="B82" s="9" t="s">
        <v>252</v>
      </c>
      <c r="C82" s="8" t="s">
        <v>229</v>
      </c>
      <c r="D82" s="9" t="s">
        <v>230</v>
      </c>
      <c r="E82" s="8" t="s">
        <v>202</v>
      </c>
      <c r="F82" s="8" t="s">
        <v>74</v>
      </c>
      <c r="G82" s="9" t="s">
        <v>86</v>
      </c>
      <c r="H82" s="8" t="s">
        <v>63</v>
      </c>
      <c r="I82" s="8"/>
      <c r="J82" s="8" t="n">
        <v>2</v>
      </c>
      <c r="K82" s="8"/>
      <c r="L82" s="8"/>
      <c r="M82" s="8"/>
      <c r="N82" s="8"/>
      <c r="O82" s="9" t="s">
        <v>87</v>
      </c>
      <c r="P82" s="9" t="s">
        <v>250</v>
      </c>
    </row>
    <row r="83" customFormat="false" ht="23.85" hidden="false" customHeight="false" outlineLevel="0" collapsed="false">
      <c r="A83" s="10" t="s">
        <v>253</v>
      </c>
      <c r="B83" s="11" t="s">
        <v>254</v>
      </c>
      <c r="C83" s="10" t="s">
        <v>229</v>
      </c>
      <c r="D83" s="11" t="s">
        <v>230</v>
      </c>
      <c r="E83" s="10" t="s">
        <v>202</v>
      </c>
      <c r="F83" s="10" t="s">
        <v>74</v>
      </c>
      <c r="G83" s="11" t="s">
        <v>86</v>
      </c>
      <c r="H83" s="10" t="s">
        <v>63</v>
      </c>
      <c r="I83" s="12" t="s">
        <v>95</v>
      </c>
      <c r="J83" s="10" t="n">
        <v>2</v>
      </c>
      <c r="K83" s="10"/>
      <c r="L83" s="10"/>
      <c r="M83" s="10"/>
      <c r="N83" s="10"/>
      <c r="O83" s="11" t="s">
        <v>87</v>
      </c>
      <c r="P83" s="11" t="s">
        <v>255</v>
      </c>
    </row>
    <row r="84" customFormat="false" ht="35.05" hidden="false" customHeight="false" outlineLevel="0" collapsed="false">
      <c r="A84" s="8" t="s">
        <v>256</v>
      </c>
      <c r="B84" s="9" t="s">
        <v>257</v>
      </c>
      <c r="C84" s="8" t="s">
        <v>258</v>
      </c>
      <c r="D84" s="9" t="s">
        <v>259</v>
      </c>
      <c r="E84" s="8" t="s">
        <v>260</v>
      </c>
      <c r="F84" s="8" t="s">
        <v>61</v>
      </c>
      <c r="G84" s="9" t="s">
        <v>93</v>
      </c>
      <c r="H84" s="8" t="s">
        <v>106</v>
      </c>
      <c r="I84" s="8"/>
      <c r="J84" s="8" t="n">
        <v>3</v>
      </c>
      <c r="K84" s="8" t="n">
        <v>25</v>
      </c>
      <c r="L84" s="8" t="n">
        <v>15</v>
      </c>
      <c r="M84" s="8" t="n">
        <v>7.5</v>
      </c>
      <c r="N84" s="8" t="n">
        <v>2.5</v>
      </c>
      <c r="O84" s="9" t="s">
        <v>96</v>
      </c>
      <c r="P84" s="9" t="s">
        <v>97</v>
      </c>
    </row>
    <row r="85" customFormat="false" ht="35.05" hidden="false" customHeight="false" outlineLevel="0" collapsed="false">
      <c r="A85" s="8" t="s">
        <v>261</v>
      </c>
      <c r="B85" s="9" t="s">
        <v>262</v>
      </c>
      <c r="C85" s="8" t="s">
        <v>258</v>
      </c>
      <c r="D85" s="9" t="s">
        <v>259</v>
      </c>
      <c r="E85" s="8" t="s">
        <v>260</v>
      </c>
      <c r="F85" s="8" t="s">
        <v>61</v>
      </c>
      <c r="G85" s="9" t="s">
        <v>93</v>
      </c>
      <c r="H85" s="8" t="s">
        <v>94</v>
      </c>
      <c r="I85" s="8"/>
      <c r="J85" s="8" t="n">
        <v>3</v>
      </c>
      <c r="K85" s="8" t="n">
        <v>20</v>
      </c>
      <c r="L85" s="8" t="n">
        <v>40</v>
      </c>
      <c r="M85" s="8" t="n">
        <v>60</v>
      </c>
      <c r="N85" s="8" t="n">
        <v>80</v>
      </c>
      <c r="O85" s="9" t="s">
        <v>96</v>
      </c>
      <c r="P85" s="9" t="s">
        <v>97</v>
      </c>
    </row>
    <row r="86" customFormat="false" ht="35.05" hidden="false" customHeight="false" outlineLevel="0" collapsed="false">
      <c r="A86" s="8" t="s">
        <v>263</v>
      </c>
      <c r="B86" s="9" t="s">
        <v>264</v>
      </c>
      <c r="C86" s="8" t="s">
        <v>258</v>
      </c>
      <c r="D86" s="9" t="s">
        <v>259</v>
      </c>
      <c r="E86" s="8" t="s">
        <v>260</v>
      </c>
      <c r="F86" s="8" t="s">
        <v>61</v>
      </c>
      <c r="G86" s="9" t="s">
        <v>93</v>
      </c>
      <c r="H86" s="8" t="s">
        <v>106</v>
      </c>
      <c r="I86" s="8"/>
      <c r="J86" s="8" t="n">
        <v>3</v>
      </c>
      <c r="K86" s="8" t="n">
        <v>25</v>
      </c>
      <c r="L86" s="8" t="n">
        <v>15</v>
      </c>
      <c r="M86" s="8" t="n">
        <v>8</v>
      </c>
      <c r="N86" s="8" t="n">
        <v>3</v>
      </c>
      <c r="O86" s="9" t="s">
        <v>96</v>
      </c>
      <c r="P86" s="9" t="s">
        <v>97</v>
      </c>
    </row>
    <row r="87" customFormat="false" ht="35.05" hidden="false" customHeight="false" outlineLevel="0" collapsed="false">
      <c r="A87" s="8" t="s">
        <v>265</v>
      </c>
      <c r="B87" s="9" t="s">
        <v>266</v>
      </c>
      <c r="C87" s="8" t="s">
        <v>258</v>
      </c>
      <c r="D87" s="9" t="s">
        <v>259</v>
      </c>
      <c r="E87" s="8" t="s">
        <v>260</v>
      </c>
      <c r="F87" s="8" t="s">
        <v>61</v>
      </c>
      <c r="G87" s="9" t="s">
        <v>93</v>
      </c>
      <c r="H87" s="8" t="s">
        <v>94</v>
      </c>
      <c r="I87" s="8"/>
      <c r="J87" s="8" t="n">
        <v>3</v>
      </c>
      <c r="K87" s="8" t="n">
        <v>10</v>
      </c>
      <c r="L87" s="8" t="n">
        <v>25</v>
      </c>
      <c r="M87" s="8" t="n">
        <v>50</v>
      </c>
      <c r="N87" s="8" t="n">
        <v>75</v>
      </c>
      <c r="O87" s="9" t="s">
        <v>96</v>
      </c>
      <c r="P87" s="9" t="s">
        <v>97</v>
      </c>
    </row>
    <row r="88" customFormat="false" ht="35.05" hidden="false" customHeight="false" outlineLevel="0" collapsed="false">
      <c r="A88" s="8" t="s">
        <v>267</v>
      </c>
      <c r="B88" s="9" t="s">
        <v>268</v>
      </c>
      <c r="C88" s="8" t="s">
        <v>258</v>
      </c>
      <c r="D88" s="9" t="s">
        <v>259</v>
      </c>
      <c r="E88" s="8" t="s">
        <v>260</v>
      </c>
      <c r="F88" s="8" t="s">
        <v>61</v>
      </c>
      <c r="G88" s="9" t="s">
        <v>93</v>
      </c>
      <c r="H88" s="8" t="s">
        <v>94</v>
      </c>
      <c r="I88" s="8"/>
      <c r="J88" s="8" t="n">
        <v>3</v>
      </c>
      <c r="K88" s="8" t="n">
        <v>10</v>
      </c>
      <c r="L88" s="8" t="n">
        <v>25</v>
      </c>
      <c r="M88" s="8" t="n">
        <v>40</v>
      </c>
      <c r="N88" s="8" t="n">
        <v>50</v>
      </c>
      <c r="O88" s="9" t="s">
        <v>96</v>
      </c>
      <c r="P88" s="9" t="s">
        <v>97</v>
      </c>
    </row>
    <row r="89" customFormat="false" ht="35.05" hidden="false" customHeight="false" outlineLevel="0" collapsed="false">
      <c r="A89" s="8" t="s">
        <v>269</v>
      </c>
      <c r="B89" s="9" t="s">
        <v>270</v>
      </c>
      <c r="C89" s="8" t="s">
        <v>258</v>
      </c>
      <c r="D89" s="9" t="s">
        <v>259</v>
      </c>
      <c r="E89" s="8" t="s">
        <v>260</v>
      </c>
      <c r="F89" s="8" t="s">
        <v>74</v>
      </c>
      <c r="G89" s="9" t="s">
        <v>93</v>
      </c>
      <c r="H89" s="8" t="s">
        <v>106</v>
      </c>
      <c r="I89" s="8"/>
      <c r="J89" s="8" t="n">
        <v>3</v>
      </c>
      <c r="K89" s="8" t="n">
        <v>20</v>
      </c>
      <c r="L89" s="8" t="n">
        <v>10</v>
      </c>
      <c r="M89" s="8" t="n">
        <v>5</v>
      </c>
      <c r="N89" s="8" t="n">
        <v>2</v>
      </c>
      <c r="O89" s="9" t="s">
        <v>96</v>
      </c>
      <c r="P89" s="9" t="s">
        <v>97</v>
      </c>
    </row>
    <row r="90" customFormat="false" ht="35.05" hidden="false" customHeight="false" outlineLevel="0" collapsed="false">
      <c r="A90" s="8" t="s">
        <v>271</v>
      </c>
      <c r="B90" s="9" t="s">
        <v>272</v>
      </c>
      <c r="C90" s="8" t="s">
        <v>258</v>
      </c>
      <c r="D90" s="9" t="s">
        <v>259</v>
      </c>
      <c r="E90" s="8" t="s">
        <v>260</v>
      </c>
      <c r="F90" s="8" t="s">
        <v>74</v>
      </c>
      <c r="G90" s="9" t="s">
        <v>93</v>
      </c>
      <c r="H90" s="8" t="s">
        <v>94</v>
      </c>
      <c r="I90" s="8"/>
      <c r="J90" s="8" t="n">
        <v>3</v>
      </c>
      <c r="K90" s="8" t="n">
        <v>10</v>
      </c>
      <c r="L90" s="8" t="n">
        <v>25</v>
      </c>
      <c r="M90" s="8" t="n">
        <v>50</v>
      </c>
      <c r="N90" s="8" t="n">
        <v>75</v>
      </c>
      <c r="O90" s="9" t="s">
        <v>96</v>
      </c>
      <c r="P90" s="9" t="s">
        <v>97</v>
      </c>
    </row>
    <row r="91" customFormat="false" ht="35.05" hidden="false" customHeight="false" outlineLevel="0" collapsed="false">
      <c r="A91" s="8" t="s">
        <v>273</v>
      </c>
      <c r="B91" s="9" t="s">
        <v>274</v>
      </c>
      <c r="C91" s="8" t="s">
        <v>258</v>
      </c>
      <c r="D91" s="9" t="s">
        <v>259</v>
      </c>
      <c r="E91" s="8" t="s">
        <v>260</v>
      </c>
      <c r="F91" s="8" t="s">
        <v>74</v>
      </c>
      <c r="G91" s="9" t="s">
        <v>93</v>
      </c>
      <c r="H91" s="8" t="s">
        <v>94</v>
      </c>
      <c r="I91" s="8"/>
      <c r="J91" s="8" t="n">
        <v>3</v>
      </c>
      <c r="K91" s="8" t="n">
        <v>10</v>
      </c>
      <c r="L91" s="8" t="n">
        <v>25</v>
      </c>
      <c r="M91" s="8" t="n">
        <v>50</v>
      </c>
      <c r="N91" s="8" t="n">
        <v>75</v>
      </c>
      <c r="O91" s="9" t="s">
        <v>96</v>
      </c>
      <c r="P91" s="9" t="s">
        <v>97</v>
      </c>
    </row>
    <row r="92" customFormat="false" ht="35.05" hidden="false" customHeight="false" outlineLevel="0" collapsed="false">
      <c r="A92" s="8" t="s">
        <v>275</v>
      </c>
      <c r="B92" s="9" t="s">
        <v>276</v>
      </c>
      <c r="C92" s="8" t="s">
        <v>258</v>
      </c>
      <c r="D92" s="9" t="s">
        <v>259</v>
      </c>
      <c r="E92" s="8" t="s">
        <v>260</v>
      </c>
      <c r="F92" s="8" t="s">
        <v>74</v>
      </c>
      <c r="G92" s="9" t="s">
        <v>93</v>
      </c>
      <c r="H92" s="8" t="s">
        <v>94</v>
      </c>
      <c r="I92" s="8"/>
      <c r="J92" s="8" t="n">
        <v>3</v>
      </c>
      <c r="K92" s="8" t="n">
        <v>10</v>
      </c>
      <c r="L92" s="8" t="n">
        <v>25</v>
      </c>
      <c r="M92" s="8" t="n">
        <v>50</v>
      </c>
      <c r="N92" s="8" t="n">
        <v>75</v>
      </c>
      <c r="O92" s="9" t="s">
        <v>96</v>
      </c>
      <c r="P92" s="9" t="s">
        <v>97</v>
      </c>
    </row>
    <row r="93" customFormat="false" ht="57.45" hidden="false" customHeight="false" outlineLevel="0" collapsed="false">
      <c r="A93" s="8" t="s">
        <v>277</v>
      </c>
      <c r="B93" s="9" t="s">
        <v>278</v>
      </c>
      <c r="C93" s="8" t="s">
        <v>258</v>
      </c>
      <c r="D93" s="9" t="s">
        <v>259</v>
      </c>
      <c r="E93" s="8" t="s">
        <v>260</v>
      </c>
      <c r="F93" s="8" t="s">
        <v>74</v>
      </c>
      <c r="G93" s="9" t="s">
        <v>93</v>
      </c>
      <c r="H93" s="8" t="s">
        <v>94</v>
      </c>
      <c r="I93" s="8"/>
      <c r="J93" s="8" t="n">
        <v>3</v>
      </c>
      <c r="K93" s="8" t="n">
        <v>20</v>
      </c>
      <c r="L93" s="8" t="n">
        <v>40</v>
      </c>
      <c r="M93" s="8" t="n">
        <v>60</v>
      </c>
      <c r="N93" s="8" t="n">
        <v>80</v>
      </c>
      <c r="O93" s="9" t="s">
        <v>96</v>
      </c>
      <c r="P93" s="9" t="s">
        <v>279</v>
      </c>
    </row>
    <row r="94" customFormat="false" ht="35.05" hidden="false" customHeight="false" outlineLevel="0" collapsed="false">
      <c r="A94" s="8" t="s">
        <v>280</v>
      </c>
      <c r="B94" s="9" t="s">
        <v>281</v>
      </c>
      <c r="C94" s="8" t="s">
        <v>258</v>
      </c>
      <c r="D94" s="9" t="s">
        <v>259</v>
      </c>
      <c r="E94" s="8" t="s">
        <v>260</v>
      </c>
      <c r="F94" s="8" t="s">
        <v>74</v>
      </c>
      <c r="G94" s="9" t="s">
        <v>93</v>
      </c>
      <c r="H94" s="8" t="s">
        <v>94</v>
      </c>
      <c r="I94" s="8"/>
      <c r="J94" s="8" t="n">
        <v>3</v>
      </c>
      <c r="K94" s="8" t="n">
        <v>25</v>
      </c>
      <c r="L94" s="8" t="n">
        <v>50</v>
      </c>
      <c r="M94" s="8" t="n">
        <v>75</v>
      </c>
      <c r="N94" s="8" t="n">
        <v>90</v>
      </c>
      <c r="O94" s="9" t="s">
        <v>96</v>
      </c>
      <c r="P94" s="9" t="s">
        <v>97</v>
      </c>
    </row>
    <row r="95" customFormat="false" ht="35.05" hidden="false" customHeight="false" outlineLevel="0" collapsed="false">
      <c r="A95" s="8" t="s">
        <v>282</v>
      </c>
      <c r="B95" s="9" t="s">
        <v>283</v>
      </c>
      <c r="C95" s="8" t="s">
        <v>258</v>
      </c>
      <c r="D95" s="9" t="s">
        <v>259</v>
      </c>
      <c r="E95" s="8" t="s">
        <v>260</v>
      </c>
      <c r="F95" s="8" t="s">
        <v>74</v>
      </c>
      <c r="G95" s="9" t="s">
        <v>284</v>
      </c>
      <c r="H95" s="8" t="s">
        <v>63</v>
      </c>
      <c r="I95" s="8"/>
      <c r="J95" s="8" t="n">
        <v>3</v>
      </c>
      <c r="K95" s="8"/>
      <c r="L95" s="8"/>
      <c r="M95" s="8"/>
      <c r="N95" s="8"/>
      <c r="O95" s="9" t="s">
        <v>87</v>
      </c>
      <c r="P95" s="9" t="s">
        <v>285</v>
      </c>
    </row>
    <row r="96" customFormat="false" ht="23.85" hidden="false" customHeight="false" outlineLevel="0" collapsed="false">
      <c r="A96" s="8" t="s">
        <v>286</v>
      </c>
      <c r="B96" s="9" t="s">
        <v>287</v>
      </c>
      <c r="C96" s="8" t="s">
        <v>258</v>
      </c>
      <c r="D96" s="9" t="s">
        <v>259</v>
      </c>
      <c r="E96" s="8" t="s">
        <v>260</v>
      </c>
      <c r="F96" s="8" t="s">
        <v>74</v>
      </c>
      <c r="G96" s="9" t="s">
        <v>284</v>
      </c>
      <c r="H96" s="8" t="s">
        <v>63</v>
      </c>
      <c r="I96" s="8"/>
      <c r="J96" s="8" t="n">
        <v>3</v>
      </c>
      <c r="K96" s="8"/>
      <c r="L96" s="8"/>
      <c r="M96" s="8"/>
      <c r="N96" s="8"/>
      <c r="O96" s="9" t="s">
        <v>87</v>
      </c>
      <c r="P96" s="9" t="s">
        <v>288</v>
      </c>
    </row>
    <row r="97" customFormat="false" ht="35.05" hidden="false" customHeight="false" outlineLevel="0" collapsed="false">
      <c r="A97" s="8" t="s">
        <v>289</v>
      </c>
      <c r="B97" s="9" t="s">
        <v>290</v>
      </c>
      <c r="C97" s="8" t="s">
        <v>258</v>
      </c>
      <c r="D97" s="9" t="s">
        <v>259</v>
      </c>
      <c r="E97" s="8" t="s">
        <v>260</v>
      </c>
      <c r="F97" s="8" t="s">
        <v>74</v>
      </c>
      <c r="G97" s="9" t="s">
        <v>93</v>
      </c>
      <c r="H97" s="8" t="s">
        <v>94</v>
      </c>
      <c r="I97" s="8"/>
      <c r="J97" s="8" t="n">
        <v>3</v>
      </c>
      <c r="K97" s="8" t="n">
        <v>10</v>
      </c>
      <c r="L97" s="8" t="n">
        <v>25</v>
      </c>
      <c r="M97" s="8" t="n">
        <v>50</v>
      </c>
      <c r="N97" s="8" t="n">
        <v>75</v>
      </c>
      <c r="O97" s="9" t="s">
        <v>96</v>
      </c>
      <c r="P97" s="9" t="s">
        <v>97</v>
      </c>
    </row>
    <row r="98" customFormat="false" ht="35.05" hidden="false" customHeight="false" outlineLevel="0" collapsed="false">
      <c r="A98" s="8" t="s">
        <v>291</v>
      </c>
      <c r="B98" s="9" t="s">
        <v>292</v>
      </c>
      <c r="C98" s="8" t="s">
        <v>258</v>
      </c>
      <c r="D98" s="9" t="s">
        <v>259</v>
      </c>
      <c r="E98" s="8" t="s">
        <v>260</v>
      </c>
      <c r="F98" s="8" t="s">
        <v>74</v>
      </c>
      <c r="G98" s="9" t="s">
        <v>93</v>
      </c>
      <c r="H98" s="8" t="s">
        <v>94</v>
      </c>
      <c r="I98" s="8"/>
      <c r="J98" s="8" t="n">
        <v>3</v>
      </c>
      <c r="K98" s="8" t="n">
        <v>20</v>
      </c>
      <c r="L98" s="8" t="n">
        <v>40</v>
      </c>
      <c r="M98" s="8" t="n">
        <v>60</v>
      </c>
      <c r="N98" s="8" t="n">
        <v>80</v>
      </c>
      <c r="O98" s="9" t="s">
        <v>96</v>
      </c>
      <c r="P98" s="9" t="s">
        <v>97</v>
      </c>
    </row>
  </sheetData>
  <autoFilter ref="A1:P98"/>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7" min="3" style="0" width="40"/>
  </cols>
  <sheetData>
    <row r="1" customFormat="false" ht="15" hidden="false" customHeight="false" outlineLevel="0" collapsed="false">
      <c r="A1" s="7" t="s">
        <v>40</v>
      </c>
      <c r="B1" s="7" t="s">
        <v>41</v>
      </c>
      <c r="C1" s="7" t="s">
        <v>293</v>
      </c>
      <c r="D1" s="7" t="s">
        <v>294</v>
      </c>
      <c r="E1" s="7" t="s">
        <v>295</v>
      </c>
      <c r="F1" s="7" t="s">
        <v>296</v>
      </c>
      <c r="G1" s="7" t="s">
        <v>297</v>
      </c>
    </row>
    <row r="2" customFormat="false" ht="23.85" hidden="false" customHeight="false" outlineLevel="0" collapsed="false">
      <c r="A2" s="8" t="s">
        <v>56</v>
      </c>
      <c r="B2" s="9" t="s">
        <v>57</v>
      </c>
      <c r="C2" s="9" t="s">
        <v>298</v>
      </c>
      <c r="D2" s="9" t="s">
        <v>299</v>
      </c>
      <c r="E2" s="9" t="s">
        <v>299</v>
      </c>
      <c r="F2" s="9" t="s">
        <v>299</v>
      </c>
      <c r="G2" s="9" t="s">
        <v>299</v>
      </c>
    </row>
    <row r="3" customFormat="false" ht="23.85" hidden="false" customHeight="false" outlineLevel="0" collapsed="false">
      <c r="A3" s="8" t="s">
        <v>66</v>
      </c>
      <c r="B3" s="9" t="s">
        <v>67</v>
      </c>
      <c r="C3" s="9" t="s">
        <v>298</v>
      </c>
      <c r="D3" s="9" t="s">
        <v>299</v>
      </c>
      <c r="E3" s="9" t="s">
        <v>299</v>
      </c>
      <c r="F3" s="9" t="s">
        <v>299</v>
      </c>
      <c r="G3" s="9" t="s">
        <v>299</v>
      </c>
    </row>
    <row r="4" customFormat="false" ht="23.85" hidden="false" customHeight="false" outlineLevel="0" collapsed="false">
      <c r="A4" s="8" t="s">
        <v>68</v>
      </c>
      <c r="B4" s="9" t="s">
        <v>69</v>
      </c>
      <c r="C4" s="9" t="s">
        <v>298</v>
      </c>
      <c r="D4" s="9" t="s">
        <v>299</v>
      </c>
      <c r="E4" s="9" t="s">
        <v>299</v>
      </c>
      <c r="F4" s="9" t="s">
        <v>299</v>
      </c>
      <c r="G4" s="9" t="s">
        <v>299</v>
      </c>
    </row>
    <row r="5" customFormat="false" ht="23.85" hidden="false" customHeight="false" outlineLevel="0" collapsed="false">
      <c r="A5" s="8" t="s">
        <v>70</v>
      </c>
      <c r="B5" s="9" t="s">
        <v>71</v>
      </c>
      <c r="C5" s="9" t="s">
        <v>298</v>
      </c>
      <c r="D5" s="9" t="s">
        <v>299</v>
      </c>
      <c r="E5" s="9" t="s">
        <v>299</v>
      </c>
      <c r="F5" s="9" t="s">
        <v>299</v>
      </c>
      <c r="G5" s="9" t="s">
        <v>299</v>
      </c>
    </row>
    <row r="6" customFormat="false" ht="23.85" hidden="false" customHeight="false" outlineLevel="0" collapsed="false">
      <c r="A6" s="8" t="s">
        <v>72</v>
      </c>
      <c r="B6" s="9" t="s">
        <v>73</v>
      </c>
      <c r="C6" s="9" t="s">
        <v>298</v>
      </c>
      <c r="D6" s="9" t="s">
        <v>299</v>
      </c>
      <c r="E6" s="9" t="s">
        <v>299</v>
      </c>
      <c r="F6" s="9" t="s">
        <v>299</v>
      </c>
      <c r="G6" s="9" t="s">
        <v>299</v>
      </c>
    </row>
    <row r="7" customFormat="false" ht="23.85" hidden="false" customHeight="false" outlineLevel="0" collapsed="false">
      <c r="A7" s="8" t="s">
        <v>75</v>
      </c>
      <c r="B7" s="9" t="s">
        <v>76</v>
      </c>
      <c r="C7" s="9" t="s">
        <v>298</v>
      </c>
      <c r="D7" s="9" t="s">
        <v>299</v>
      </c>
      <c r="E7" s="9" t="s">
        <v>299</v>
      </c>
      <c r="F7" s="9" t="s">
        <v>299</v>
      </c>
      <c r="G7" s="9" t="s">
        <v>299</v>
      </c>
    </row>
    <row r="8" customFormat="false" ht="23.85" hidden="false" customHeight="false" outlineLevel="0" collapsed="false">
      <c r="A8" s="8" t="s">
        <v>77</v>
      </c>
      <c r="B8" s="9" t="s">
        <v>78</v>
      </c>
      <c r="C8" s="9" t="s">
        <v>298</v>
      </c>
      <c r="D8" s="9" t="s">
        <v>299</v>
      </c>
      <c r="E8" s="9" t="s">
        <v>299</v>
      </c>
      <c r="F8" s="9" t="s">
        <v>299</v>
      </c>
      <c r="G8" s="9" t="s">
        <v>299</v>
      </c>
    </row>
    <row r="9" customFormat="false" ht="23.85" hidden="false" customHeight="false" outlineLevel="0" collapsed="false">
      <c r="A9" s="8" t="s">
        <v>79</v>
      </c>
      <c r="B9" s="9" t="s">
        <v>80</v>
      </c>
      <c r="C9" s="9" t="s">
        <v>298</v>
      </c>
      <c r="D9" s="9" t="s">
        <v>299</v>
      </c>
      <c r="E9" s="9" t="s">
        <v>299</v>
      </c>
      <c r="F9" s="9" t="s">
        <v>299</v>
      </c>
      <c r="G9" s="9" t="s">
        <v>299</v>
      </c>
    </row>
    <row r="10" customFormat="false" ht="46.25" hidden="false" customHeight="false" outlineLevel="0" collapsed="false">
      <c r="A10" s="8" t="s">
        <v>81</v>
      </c>
      <c r="B10" s="9" t="s">
        <v>82</v>
      </c>
      <c r="C10" s="9" t="s">
        <v>300</v>
      </c>
      <c r="D10" s="9" t="s">
        <v>301</v>
      </c>
      <c r="E10" s="9" t="s">
        <v>302</v>
      </c>
      <c r="F10" s="9" t="s">
        <v>303</v>
      </c>
      <c r="G10" s="9" t="s">
        <v>304</v>
      </c>
    </row>
    <row r="11" customFormat="false" ht="23.85" hidden="false" customHeight="false" outlineLevel="0" collapsed="false">
      <c r="A11" s="8" t="s">
        <v>89</v>
      </c>
      <c r="B11" s="9" t="s">
        <v>90</v>
      </c>
      <c r="C11" s="9" t="s">
        <v>305</v>
      </c>
      <c r="D11" s="9" t="s">
        <v>306</v>
      </c>
      <c r="E11" s="9" t="s">
        <v>307</v>
      </c>
      <c r="F11" s="9" t="s">
        <v>308</v>
      </c>
      <c r="G11" s="9" t="s">
        <v>309</v>
      </c>
    </row>
    <row r="12" customFormat="false" ht="23.85" hidden="false" customHeight="false" outlineLevel="0" collapsed="false">
      <c r="A12" s="8" t="s">
        <v>98</v>
      </c>
      <c r="B12" s="9" t="s">
        <v>99</v>
      </c>
      <c r="C12" s="9" t="s">
        <v>305</v>
      </c>
      <c r="D12" s="9" t="s">
        <v>306</v>
      </c>
      <c r="E12" s="9" t="s">
        <v>307</v>
      </c>
      <c r="F12" s="9" t="s">
        <v>308</v>
      </c>
      <c r="G12" s="9" t="s">
        <v>309</v>
      </c>
    </row>
    <row r="13" customFormat="false" ht="23.85" hidden="false" customHeight="false" outlineLevel="0" collapsed="false">
      <c r="A13" s="8" t="s">
        <v>100</v>
      </c>
      <c r="B13" s="9" t="s">
        <v>101</v>
      </c>
      <c r="C13" s="9" t="s">
        <v>305</v>
      </c>
      <c r="D13" s="9" t="s">
        <v>306</v>
      </c>
      <c r="E13" s="9" t="s">
        <v>310</v>
      </c>
      <c r="F13" s="9" t="s">
        <v>311</v>
      </c>
      <c r="G13" s="9" t="s">
        <v>312</v>
      </c>
    </row>
    <row r="14" customFormat="false" ht="23.85" hidden="false" customHeight="false" outlineLevel="0" collapsed="false">
      <c r="A14" s="8" t="s">
        <v>102</v>
      </c>
      <c r="B14" s="9" t="s">
        <v>103</v>
      </c>
      <c r="C14" s="9" t="s">
        <v>305</v>
      </c>
      <c r="D14" s="9" t="s">
        <v>306</v>
      </c>
      <c r="E14" s="9" t="s">
        <v>307</v>
      </c>
      <c r="F14" s="9" t="s">
        <v>308</v>
      </c>
      <c r="G14" s="9" t="s">
        <v>309</v>
      </c>
    </row>
    <row r="15" customFormat="false" ht="23.85" hidden="false" customHeight="false" outlineLevel="0" collapsed="false">
      <c r="A15" s="8" t="s">
        <v>104</v>
      </c>
      <c r="B15" s="9" t="s">
        <v>105</v>
      </c>
      <c r="C15" s="9" t="s">
        <v>313</v>
      </c>
      <c r="D15" s="9" t="s">
        <v>314</v>
      </c>
      <c r="E15" s="9" t="s">
        <v>315</v>
      </c>
      <c r="F15" s="9" t="s">
        <v>316</v>
      </c>
      <c r="G15" s="9" t="s">
        <v>317</v>
      </c>
    </row>
    <row r="16" customFormat="false" ht="15" hidden="false" customHeight="false" outlineLevel="0" collapsed="false">
      <c r="A16" s="8" t="s">
        <v>107</v>
      </c>
      <c r="B16" s="9" t="s">
        <v>108</v>
      </c>
      <c r="C16" s="9" t="s">
        <v>305</v>
      </c>
      <c r="D16" s="9" t="s">
        <v>306</v>
      </c>
      <c r="E16" s="9" t="s">
        <v>307</v>
      </c>
      <c r="F16" s="9" t="s">
        <v>308</v>
      </c>
      <c r="G16" s="9" t="s">
        <v>309</v>
      </c>
    </row>
    <row r="17" customFormat="false" ht="23.85" hidden="false" customHeight="false" outlineLevel="0" collapsed="false">
      <c r="A17" s="8" t="s">
        <v>109</v>
      </c>
      <c r="B17" s="9" t="s">
        <v>110</v>
      </c>
      <c r="C17" s="9" t="s">
        <v>305</v>
      </c>
      <c r="D17" s="9" t="s">
        <v>306</v>
      </c>
      <c r="E17" s="9" t="s">
        <v>307</v>
      </c>
      <c r="F17" s="9" t="s">
        <v>308</v>
      </c>
      <c r="G17" s="9" t="s">
        <v>309</v>
      </c>
    </row>
    <row r="18" customFormat="false" ht="23.85" hidden="false" customHeight="false" outlineLevel="0" collapsed="false">
      <c r="A18" s="8" t="s">
        <v>111</v>
      </c>
      <c r="B18" s="9" t="s">
        <v>112</v>
      </c>
      <c r="C18" s="9" t="s">
        <v>313</v>
      </c>
      <c r="D18" s="9" t="s">
        <v>314</v>
      </c>
      <c r="E18" s="9" t="s">
        <v>315</v>
      </c>
      <c r="F18" s="9" t="s">
        <v>316</v>
      </c>
      <c r="G18" s="9" t="s">
        <v>317</v>
      </c>
    </row>
    <row r="19" customFormat="false" ht="15" hidden="false" customHeight="false" outlineLevel="0" collapsed="false">
      <c r="A19" s="8" t="s">
        <v>113</v>
      </c>
      <c r="B19" s="9" t="s">
        <v>114</v>
      </c>
      <c r="C19" s="9" t="s">
        <v>305</v>
      </c>
      <c r="D19" s="9" t="s">
        <v>306</v>
      </c>
      <c r="E19" s="9" t="s">
        <v>307</v>
      </c>
      <c r="F19" s="9" t="s">
        <v>308</v>
      </c>
      <c r="G19" s="9" t="s">
        <v>309</v>
      </c>
    </row>
    <row r="20" customFormat="false" ht="23.85" hidden="false" customHeight="false" outlineLevel="0" collapsed="false">
      <c r="A20" s="8" t="s">
        <v>115</v>
      </c>
      <c r="B20" s="9" t="s">
        <v>116</v>
      </c>
      <c r="C20" s="9" t="s">
        <v>318</v>
      </c>
      <c r="D20" s="9" t="s">
        <v>319</v>
      </c>
      <c r="E20" s="9" t="s">
        <v>320</v>
      </c>
      <c r="F20" s="9" t="s">
        <v>321</v>
      </c>
      <c r="G20" s="9" t="s">
        <v>322</v>
      </c>
    </row>
    <row r="21" customFormat="false" ht="46.25" hidden="false" customHeight="false" outlineLevel="0" collapsed="false">
      <c r="A21" s="8" t="s">
        <v>117</v>
      </c>
      <c r="B21" s="9" t="s">
        <v>118</v>
      </c>
      <c r="C21" s="9" t="s">
        <v>323</v>
      </c>
      <c r="D21" s="9" t="s">
        <v>324</v>
      </c>
      <c r="E21" s="9" t="s">
        <v>325</v>
      </c>
      <c r="F21" s="9" t="s">
        <v>326</v>
      </c>
      <c r="G21" s="9" t="s">
        <v>327</v>
      </c>
    </row>
    <row r="22" customFormat="false" ht="23.85" hidden="false" customHeight="false" outlineLevel="0" collapsed="false">
      <c r="A22" s="8" t="s">
        <v>119</v>
      </c>
      <c r="B22" s="9" t="s">
        <v>120</v>
      </c>
      <c r="C22" s="9" t="s">
        <v>328</v>
      </c>
      <c r="D22" s="9" t="s">
        <v>329</v>
      </c>
      <c r="E22" s="9" t="s">
        <v>330</v>
      </c>
      <c r="F22" s="9" t="s">
        <v>331</v>
      </c>
      <c r="G22" s="9" t="s">
        <v>332</v>
      </c>
    </row>
    <row r="23" customFormat="false" ht="15" hidden="false" customHeight="false" outlineLevel="0" collapsed="false">
      <c r="A23" s="8" t="s">
        <v>123</v>
      </c>
      <c r="B23" s="9" t="s">
        <v>124</v>
      </c>
      <c r="C23" s="9" t="s">
        <v>305</v>
      </c>
      <c r="D23" s="9" t="s">
        <v>306</v>
      </c>
      <c r="E23" s="9" t="s">
        <v>307</v>
      </c>
      <c r="F23" s="9" t="s">
        <v>308</v>
      </c>
      <c r="G23" s="9" t="s">
        <v>309</v>
      </c>
    </row>
    <row r="24" customFormat="false" ht="35.05" hidden="false" customHeight="false" outlineLevel="0" collapsed="false">
      <c r="A24" s="8" t="s">
        <v>125</v>
      </c>
      <c r="B24" s="9" t="s">
        <v>126</v>
      </c>
      <c r="C24" s="9" t="s">
        <v>333</v>
      </c>
      <c r="D24" s="9" t="s">
        <v>334</v>
      </c>
      <c r="E24" s="9" t="s">
        <v>335</v>
      </c>
      <c r="F24" s="9" t="s">
        <v>336</v>
      </c>
      <c r="G24" s="9" t="s">
        <v>337</v>
      </c>
    </row>
    <row r="25" customFormat="false" ht="35.05" hidden="false" customHeight="false" outlineLevel="0" collapsed="false">
      <c r="A25" s="8" t="s">
        <v>127</v>
      </c>
      <c r="B25" s="9" t="s">
        <v>128</v>
      </c>
      <c r="C25" s="9" t="s">
        <v>338</v>
      </c>
      <c r="D25" s="9" t="s">
        <v>339</v>
      </c>
      <c r="E25" s="9" t="s">
        <v>340</v>
      </c>
      <c r="F25" s="9" t="s">
        <v>341</v>
      </c>
      <c r="G25" s="9" t="s">
        <v>342</v>
      </c>
    </row>
    <row r="26" customFormat="false" ht="46.25" hidden="false" customHeight="false" outlineLevel="0" collapsed="false">
      <c r="A26" s="8" t="s">
        <v>129</v>
      </c>
      <c r="B26" s="9" t="s">
        <v>130</v>
      </c>
      <c r="C26" s="9" t="s">
        <v>343</v>
      </c>
      <c r="D26" s="9" t="s">
        <v>344</v>
      </c>
      <c r="E26" s="9" t="s">
        <v>345</v>
      </c>
      <c r="F26" s="9" t="s">
        <v>346</v>
      </c>
      <c r="G26" s="9" t="s">
        <v>347</v>
      </c>
    </row>
    <row r="27" customFormat="false" ht="57.45" hidden="false" customHeight="false" outlineLevel="0" collapsed="false">
      <c r="A27" s="8" t="s">
        <v>131</v>
      </c>
      <c r="B27" s="9" t="s">
        <v>132</v>
      </c>
      <c r="C27" s="9" t="s">
        <v>348</v>
      </c>
      <c r="D27" s="9" t="s">
        <v>349</v>
      </c>
      <c r="E27" s="9" t="s">
        <v>350</v>
      </c>
      <c r="F27" s="9" t="s">
        <v>351</v>
      </c>
      <c r="G27" s="9" t="s">
        <v>352</v>
      </c>
    </row>
    <row r="28" customFormat="false" ht="46.25" hidden="false" customHeight="false" outlineLevel="0" collapsed="false">
      <c r="A28" s="8" t="s">
        <v>134</v>
      </c>
      <c r="B28" s="9" t="s">
        <v>135</v>
      </c>
      <c r="C28" s="9" t="s">
        <v>353</v>
      </c>
      <c r="D28" s="9" t="s">
        <v>354</v>
      </c>
      <c r="E28" s="9" t="s">
        <v>355</v>
      </c>
      <c r="F28" s="9" t="s">
        <v>356</v>
      </c>
      <c r="G28" s="9" t="s">
        <v>357</v>
      </c>
    </row>
    <row r="29" customFormat="false" ht="35.05" hidden="false" customHeight="false" outlineLevel="0" collapsed="false">
      <c r="A29" s="8" t="s">
        <v>136</v>
      </c>
      <c r="B29" s="9" t="s">
        <v>137</v>
      </c>
      <c r="C29" s="9" t="s">
        <v>358</v>
      </c>
      <c r="D29" s="9" t="s">
        <v>359</v>
      </c>
      <c r="E29" s="9" t="s">
        <v>360</v>
      </c>
      <c r="F29" s="9" t="s">
        <v>361</v>
      </c>
      <c r="G29" s="9" t="s">
        <v>362</v>
      </c>
    </row>
    <row r="30" customFormat="false" ht="23.85" hidden="false" customHeight="false" outlineLevel="0" collapsed="false">
      <c r="A30" s="8" t="s">
        <v>138</v>
      </c>
      <c r="B30" s="9" t="s">
        <v>139</v>
      </c>
      <c r="C30" s="9" t="s">
        <v>305</v>
      </c>
      <c r="D30" s="9" t="s">
        <v>306</v>
      </c>
      <c r="E30" s="9" t="s">
        <v>307</v>
      </c>
      <c r="F30" s="9" t="s">
        <v>308</v>
      </c>
      <c r="G30" s="9" t="s">
        <v>309</v>
      </c>
    </row>
    <row r="31" customFormat="false" ht="46.25" hidden="false" customHeight="false" outlineLevel="0" collapsed="false">
      <c r="A31" s="8" t="s">
        <v>140</v>
      </c>
      <c r="B31" s="9" t="s">
        <v>141</v>
      </c>
      <c r="C31" s="9" t="s">
        <v>363</v>
      </c>
      <c r="D31" s="9" t="s">
        <v>364</v>
      </c>
      <c r="E31" s="9" t="s">
        <v>365</v>
      </c>
      <c r="F31" s="9" t="s">
        <v>366</v>
      </c>
      <c r="G31" s="9" t="s">
        <v>367</v>
      </c>
    </row>
    <row r="32" customFormat="false" ht="46.25" hidden="false" customHeight="false" outlineLevel="0" collapsed="false">
      <c r="A32" s="8" t="s">
        <v>142</v>
      </c>
      <c r="B32" s="9" t="s">
        <v>143</v>
      </c>
      <c r="C32" s="9" t="s">
        <v>368</v>
      </c>
      <c r="D32" s="9" t="s">
        <v>369</v>
      </c>
      <c r="E32" s="9" t="s">
        <v>370</v>
      </c>
      <c r="F32" s="9" t="s">
        <v>371</v>
      </c>
      <c r="G32" s="9" t="s">
        <v>372</v>
      </c>
    </row>
    <row r="33" customFormat="false" ht="35.05" hidden="false" customHeight="false" outlineLevel="0" collapsed="false">
      <c r="A33" s="8" t="s">
        <v>144</v>
      </c>
      <c r="B33" s="9" t="s">
        <v>145</v>
      </c>
      <c r="C33" s="9" t="s">
        <v>373</v>
      </c>
      <c r="D33" s="9" t="s">
        <v>374</v>
      </c>
      <c r="E33" s="9" t="s">
        <v>375</v>
      </c>
      <c r="F33" s="9" t="s">
        <v>376</v>
      </c>
      <c r="G33" s="9" t="s">
        <v>377</v>
      </c>
    </row>
    <row r="34" customFormat="false" ht="35.05" hidden="false" customHeight="false" outlineLevel="0" collapsed="false">
      <c r="A34" s="8" t="s">
        <v>146</v>
      </c>
      <c r="B34" s="9" t="s">
        <v>147</v>
      </c>
      <c r="C34" s="9" t="s">
        <v>378</v>
      </c>
      <c r="D34" s="9" t="s">
        <v>379</v>
      </c>
      <c r="E34" s="9" t="s">
        <v>380</v>
      </c>
      <c r="F34" s="9" t="s">
        <v>381</v>
      </c>
      <c r="G34" s="9" t="s">
        <v>382</v>
      </c>
    </row>
    <row r="35" customFormat="false" ht="15" hidden="false" customHeight="false" outlineLevel="0" collapsed="false">
      <c r="A35" s="8" t="s">
        <v>150</v>
      </c>
      <c r="B35" s="9" t="s">
        <v>151</v>
      </c>
      <c r="C35" s="9" t="s">
        <v>328</v>
      </c>
      <c r="D35" s="9" t="s">
        <v>329</v>
      </c>
      <c r="E35" s="9" t="s">
        <v>330</v>
      </c>
      <c r="F35" s="9" t="s">
        <v>331</v>
      </c>
      <c r="G35" s="9" t="s">
        <v>332</v>
      </c>
    </row>
    <row r="36" customFormat="false" ht="15" hidden="false" customHeight="false" outlineLevel="0" collapsed="false">
      <c r="A36" s="8" t="s">
        <v>152</v>
      </c>
      <c r="B36" s="9" t="s">
        <v>153</v>
      </c>
      <c r="C36" s="9" t="s">
        <v>305</v>
      </c>
      <c r="D36" s="9" t="s">
        <v>306</v>
      </c>
      <c r="E36" s="9" t="s">
        <v>307</v>
      </c>
      <c r="F36" s="9" t="s">
        <v>308</v>
      </c>
      <c r="G36" s="9" t="s">
        <v>309</v>
      </c>
    </row>
    <row r="37" customFormat="false" ht="35.05" hidden="false" customHeight="false" outlineLevel="0" collapsed="false">
      <c r="A37" s="8" t="s">
        <v>154</v>
      </c>
      <c r="B37" s="9" t="s">
        <v>155</v>
      </c>
      <c r="C37" s="9" t="s">
        <v>383</v>
      </c>
      <c r="D37" s="9" t="s">
        <v>384</v>
      </c>
      <c r="E37" s="9" t="s">
        <v>385</v>
      </c>
      <c r="F37" s="9" t="s">
        <v>386</v>
      </c>
      <c r="G37" s="9" t="s">
        <v>387</v>
      </c>
    </row>
    <row r="38" customFormat="false" ht="46.25" hidden="false" customHeight="false" outlineLevel="0" collapsed="false">
      <c r="A38" s="8" t="s">
        <v>156</v>
      </c>
      <c r="B38" s="9" t="s">
        <v>157</v>
      </c>
      <c r="C38" s="9" t="s">
        <v>388</v>
      </c>
      <c r="D38" s="9" t="s">
        <v>389</v>
      </c>
      <c r="E38" s="9" t="s">
        <v>390</v>
      </c>
      <c r="F38" s="9" t="s">
        <v>391</v>
      </c>
      <c r="G38" s="9" t="s">
        <v>392</v>
      </c>
    </row>
    <row r="39" customFormat="false" ht="46.25" hidden="false" customHeight="false" outlineLevel="0" collapsed="false">
      <c r="A39" s="8" t="s">
        <v>158</v>
      </c>
      <c r="B39" s="9" t="s">
        <v>159</v>
      </c>
      <c r="C39" s="9" t="s">
        <v>393</v>
      </c>
      <c r="D39" s="9" t="s">
        <v>394</v>
      </c>
      <c r="E39" s="9" t="s">
        <v>395</v>
      </c>
      <c r="F39" s="9" t="s">
        <v>396</v>
      </c>
      <c r="G39" s="9" t="s">
        <v>397</v>
      </c>
    </row>
    <row r="40" customFormat="false" ht="23.85" hidden="false" customHeight="false" outlineLevel="0" collapsed="false">
      <c r="A40" s="8" t="s">
        <v>160</v>
      </c>
      <c r="B40" s="9" t="s">
        <v>161</v>
      </c>
      <c r="C40" s="9" t="s">
        <v>305</v>
      </c>
      <c r="D40" s="9" t="s">
        <v>306</v>
      </c>
      <c r="E40" s="9" t="s">
        <v>307</v>
      </c>
      <c r="F40" s="9" t="s">
        <v>308</v>
      </c>
      <c r="G40" s="9" t="s">
        <v>309</v>
      </c>
    </row>
    <row r="41" customFormat="false" ht="46.25" hidden="false" customHeight="false" outlineLevel="0" collapsed="false">
      <c r="A41" s="8" t="s">
        <v>162</v>
      </c>
      <c r="B41" s="9" t="s">
        <v>163</v>
      </c>
      <c r="C41" s="9" t="s">
        <v>398</v>
      </c>
      <c r="D41" s="9" t="s">
        <v>399</v>
      </c>
      <c r="E41" s="9" t="s">
        <v>400</v>
      </c>
      <c r="F41" s="9" t="s">
        <v>401</v>
      </c>
      <c r="G41" s="9" t="s">
        <v>402</v>
      </c>
    </row>
    <row r="42" customFormat="false" ht="46.25" hidden="false" customHeight="false" outlineLevel="0" collapsed="false">
      <c r="A42" s="8" t="s">
        <v>164</v>
      </c>
      <c r="B42" s="9" t="s">
        <v>165</v>
      </c>
      <c r="C42" s="9" t="s">
        <v>403</v>
      </c>
      <c r="D42" s="9" t="s">
        <v>404</v>
      </c>
      <c r="E42" s="9" t="s">
        <v>405</v>
      </c>
      <c r="F42" s="9" t="s">
        <v>406</v>
      </c>
      <c r="G42" s="9" t="s">
        <v>407</v>
      </c>
    </row>
    <row r="43" customFormat="false" ht="46.25" hidden="false" customHeight="false" outlineLevel="0" collapsed="false">
      <c r="A43" s="8" t="s">
        <v>166</v>
      </c>
      <c r="B43" s="9" t="s">
        <v>167</v>
      </c>
      <c r="C43" s="9" t="s">
        <v>408</v>
      </c>
      <c r="D43" s="9" t="s">
        <v>409</v>
      </c>
      <c r="E43" s="9" t="s">
        <v>410</v>
      </c>
      <c r="F43" s="9" t="s">
        <v>411</v>
      </c>
      <c r="G43" s="9" t="s">
        <v>412</v>
      </c>
    </row>
    <row r="44" customFormat="false" ht="46.25" hidden="false" customHeight="false" outlineLevel="0" collapsed="false">
      <c r="A44" s="8" t="s">
        <v>168</v>
      </c>
      <c r="B44" s="9" t="s">
        <v>169</v>
      </c>
      <c r="C44" s="9" t="s">
        <v>413</v>
      </c>
      <c r="D44" s="9" t="s">
        <v>414</v>
      </c>
      <c r="E44" s="9" t="s">
        <v>415</v>
      </c>
      <c r="F44" s="9" t="s">
        <v>416</v>
      </c>
      <c r="G44" s="9" t="s">
        <v>417</v>
      </c>
    </row>
    <row r="45" customFormat="false" ht="46.25" hidden="false" customHeight="false" outlineLevel="0" collapsed="false">
      <c r="A45" s="8" t="s">
        <v>170</v>
      </c>
      <c r="B45" s="9" t="s">
        <v>171</v>
      </c>
      <c r="C45" s="9" t="s">
        <v>418</v>
      </c>
      <c r="D45" s="9" t="s">
        <v>419</v>
      </c>
      <c r="E45" s="9" t="s">
        <v>420</v>
      </c>
      <c r="F45" s="9" t="s">
        <v>421</v>
      </c>
      <c r="G45" s="9" t="s">
        <v>422</v>
      </c>
    </row>
    <row r="46" customFormat="false" ht="46.25" hidden="false" customHeight="false" outlineLevel="0" collapsed="false">
      <c r="A46" s="8" t="s">
        <v>172</v>
      </c>
      <c r="B46" s="9" t="s">
        <v>173</v>
      </c>
      <c r="C46" s="9" t="s">
        <v>423</v>
      </c>
      <c r="D46" s="9" t="s">
        <v>424</v>
      </c>
      <c r="E46" s="9" t="s">
        <v>425</v>
      </c>
      <c r="F46" s="9" t="s">
        <v>426</v>
      </c>
      <c r="G46" s="9" t="s">
        <v>427</v>
      </c>
    </row>
    <row r="47" customFormat="false" ht="15" hidden="false" customHeight="false" outlineLevel="0" collapsed="false">
      <c r="A47" s="8" t="s">
        <v>174</v>
      </c>
      <c r="B47" s="9" t="s">
        <v>175</v>
      </c>
      <c r="C47" s="9" t="s">
        <v>428</v>
      </c>
      <c r="D47" s="9" t="s">
        <v>429</v>
      </c>
      <c r="E47" s="9" t="s">
        <v>430</v>
      </c>
      <c r="F47" s="9" t="s">
        <v>431</v>
      </c>
      <c r="G47" s="9" t="s">
        <v>432</v>
      </c>
    </row>
    <row r="48" customFormat="false" ht="15" hidden="false" customHeight="false" outlineLevel="0" collapsed="false">
      <c r="A48" s="8" t="s">
        <v>176</v>
      </c>
      <c r="B48" s="9" t="s">
        <v>177</v>
      </c>
      <c r="C48" s="9" t="s">
        <v>433</v>
      </c>
      <c r="D48" s="9" t="s">
        <v>434</v>
      </c>
      <c r="E48" s="9" t="s">
        <v>435</v>
      </c>
      <c r="F48" s="9" t="s">
        <v>436</v>
      </c>
      <c r="G48" s="9" t="s">
        <v>437</v>
      </c>
    </row>
    <row r="49" customFormat="false" ht="23.85" hidden="false" customHeight="false" outlineLevel="0" collapsed="false">
      <c r="A49" s="8" t="s">
        <v>178</v>
      </c>
      <c r="B49" s="9" t="s">
        <v>179</v>
      </c>
      <c r="C49" s="9" t="s">
        <v>438</v>
      </c>
      <c r="D49" s="9" t="s">
        <v>439</v>
      </c>
      <c r="E49" s="9" t="s">
        <v>440</v>
      </c>
      <c r="F49" s="9" t="s">
        <v>441</v>
      </c>
      <c r="G49" s="9" t="s">
        <v>442</v>
      </c>
    </row>
    <row r="50" customFormat="false" ht="15" hidden="false" customHeight="false" outlineLevel="0" collapsed="false">
      <c r="A50" s="8" t="s">
        <v>180</v>
      </c>
      <c r="B50" s="9" t="s">
        <v>181</v>
      </c>
      <c r="C50" s="9" t="s">
        <v>438</v>
      </c>
      <c r="D50" s="9" t="s">
        <v>321</v>
      </c>
      <c r="E50" s="9" t="s">
        <v>443</v>
      </c>
      <c r="F50" s="9" t="s">
        <v>444</v>
      </c>
      <c r="G50" s="9" t="s">
        <v>445</v>
      </c>
    </row>
    <row r="51" customFormat="false" ht="23.85" hidden="false" customHeight="false" outlineLevel="0" collapsed="false">
      <c r="A51" s="8" t="s">
        <v>182</v>
      </c>
      <c r="B51" s="9" t="s">
        <v>183</v>
      </c>
      <c r="C51" s="9" t="s">
        <v>438</v>
      </c>
      <c r="D51" s="9" t="s">
        <v>321</v>
      </c>
      <c r="E51" s="9" t="s">
        <v>443</v>
      </c>
      <c r="F51" s="9" t="s">
        <v>444</v>
      </c>
      <c r="G51" s="9" t="s">
        <v>445</v>
      </c>
    </row>
    <row r="52" customFormat="false" ht="46.25" hidden="false" customHeight="false" outlineLevel="0" collapsed="false">
      <c r="A52" s="8" t="s">
        <v>184</v>
      </c>
      <c r="B52" s="9" t="s">
        <v>185</v>
      </c>
      <c r="C52" s="9" t="s">
        <v>446</v>
      </c>
      <c r="D52" s="9" t="s">
        <v>447</v>
      </c>
      <c r="E52" s="9" t="s">
        <v>448</v>
      </c>
      <c r="F52" s="9" t="s">
        <v>449</v>
      </c>
      <c r="G52" s="9" t="s">
        <v>450</v>
      </c>
    </row>
    <row r="53" customFormat="false" ht="46.25" hidden="false" customHeight="false" outlineLevel="0" collapsed="false">
      <c r="A53" s="8" t="s">
        <v>186</v>
      </c>
      <c r="B53" s="9" t="s">
        <v>187</v>
      </c>
      <c r="C53" s="9" t="s">
        <v>451</v>
      </c>
      <c r="D53" s="9" t="s">
        <v>452</v>
      </c>
      <c r="E53" s="9" t="s">
        <v>453</v>
      </c>
      <c r="F53" s="9" t="s">
        <v>454</v>
      </c>
      <c r="G53" s="9" t="s">
        <v>455</v>
      </c>
    </row>
    <row r="54" customFormat="false" ht="46.25" hidden="false" customHeight="false" outlineLevel="0" collapsed="false">
      <c r="A54" s="8" t="s">
        <v>188</v>
      </c>
      <c r="B54" s="9" t="s">
        <v>189</v>
      </c>
      <c r="C54" s="9" t="s">
        <v>456</v>
      </c>
      <c r="D54" s="9" t="s">
        <v>457</v>
      </c>
      <c r="E54" s="9" t="s">
        <v>458</v>
      </c>
      <c r="F54" s="9" t="s">
        <v>459</v>
      </c>
      <c r="G54" s="9" t="s">
        <v>460</v>
      </c>
    </row>
    <row r="55" customFormat="false" ht="46.25" hidden="false" customHeight="false" outlineLevel="0" collapsed="false">
      <c r="A55" s="8" t="s">
        <v>190</v>
      </c>
      <c r="B55" s="9" t="s">
        <v>191</v>
      </c>
      <c r="C55" s="9" t="s">
        <v>461</v>
      </c>
      <c r="D55" s="9" t="s">
        <v>462</v>
      </c>
      <c r="E55" s="9" t="s">
        <v>463</v>
      </c>
      <c r="F55" s="9" t="s">
        <v>464</v>
      </c>
      <c r="G55" s="9" t="s">
        <v>465</v>
      </c>
    </row>
    <row r="56" customFormat="false" ht="23.85" hidden="false" customHeight="false" outlineLevel="0" collapsed="false">
      <c r="A56" s="8" t="s">
        <v>192</v>
      </c>
      <c r="B56" s="9" t="s">
        <v>193</v>
      </c>
      <c r="C56" s="9" t="s">
        <v>318</v>
      </c>
      <c r="D56" s="9" t="s">
        <v>319</v>
      </c>
      <c r="E56" s="9" t="s">
        <v>320</v>
      </c>
      <c r="F56" s="9" t="s">
        <v>439</v>
      </c>
      <c r="G56" s="9" t="s">
        <v>466</v>
      </c>
    </row>
    <row r="57" customFormat="false" ht="46.25" hidden="false" customHeight="false" outlineLevel="0" collapsed="false">
      <c r="A57" s="8" t="s">
        <v>194</v>
      </c>
      <c r="B57" s="9" t="s">
        <v>195</v>
      </c>
      <c r="C57" s="9" t="s">
        <v>467</v>
      </c>
      <c r="D57" s="9" t="s">
        <v>468</v>
      </c>
      <c r="E57" s="9" t="s">
        <v>469</v>
      </c>
      <c r="F57" s="9" t="s">
        <v>470</v>
      </c>
      <c r="G57" s="9" t="s">
        <v>471</v>
      </c>
    </row>
    <row r="58" customFormat="false" ht="23.85" hidden="false" customHeight="false" outlineLevel="0" collapsed="false">
      <c r="A58" s="8" t="s">
        <v>196</v>
      </c>
      <c r="B58" s="9" t="s">
        <v>197</v>
      </c>
      <c r="C58" s="9" t="s">
        <v>305</v>
      </c>
      <c r="D58" s="9" t="s">
        <v>472</v>
      </c>
      <c r="E58" s="9" t="s">
        <v>473</v>
      </c>
      <c r="F58" s="9" t="s">
        <v>474</v>
      </c>
      <c r="G58" s="9" t="s">
        <v>475</v>
      </c>
    </row>
    <row r="59" customFormat="false" ht="15" hidden="false" customHeight="false" outlineLevel="0" collapsed="false">
      <c r="A59" s="8" t="s">
        <v>198</v>
      </c>
      <c r="B59" s="9" t="s">
        <v>199</v>
      </c>
      <c r="C59" s="9" t="s">
        <v>476</v>
      </c>
      <c r="D59" s="9" t="s">
        <v>477</v>
      </c>
      <c r="E59" s="9" t="s">
        <v>473</v>
      </c>
      <c r="F59" s="9" t="s">
        <v>478</v>
      </c>
      <c r="G59" s="9" t="s">
        <v>479</v>
      </c>
    </row>
    <row r="60" customFormat="false" ht="15" hidden="false" customHeight="false" outlineLevel="0" collapsed="false">
      <c r="A60" s="8" t="s">
        <v>203</v>
      </c>
      <c r="B60" s="9" t="s">
        <v>204</v>
      </c>
      <c r="C60" s="9" t="s">
        <v>480</v>
      </c>
      <c r="D60" s="9" t="s">
        <v>481</v>
      </c>
      <c r="E60" s="9" t="s">
        <v>482</v>
      </c>
      <c r="F60" s="9" t="s">
        <v>483</v>
      </c>
      <c r="G60" s="9" t="s">
        <v>484</v>
      </c>
    </row>
    <row r="61" customFormat="false" ht="15" hidden="false" customHeight="false" outlineLevel="0" collapsed="false">
      <c r="A61" s="8" t="s">
        <v>205</v>
      </c>
      <c r="B61" s="9" t="s">
        <v>206</v>
      </c>
      <c r="C61" s="9" t="s">
        <v>485</v>
      </c>
      <c r="D61" s="9" t="s">
        <v>486</v>
      </c>
      <c r="E61" s="9" t="s">
        <v>487</v>
      </c>
      <c r="F61" s="9" t="s">
        <v>488</v>
      </c>
      <c r="G61" s="9" t="s">
        <v>445</v>
      </c>
    </row>
    <row r="62" customFormat="false" ht="35.05" hidden="false" customHeight="false" outlineLevel="0" collapsed="false">
      <c r="A62" s="8" t="s">
        <v>207</v>
      </c>
      <c r="B62" s="9" t="s">
        <v>208</v>
      </c>
      <c r="C62" s="9" t="s">
        <v>489</v>
      </c>
      <c r="D62" s="9" t="s">
        <v>490</v>
      </c>
      <c r="E62" s="9" t="s">
        <v>491</v>
      </c>
      <c r="F62" s="9" t="s">
        <v>492</v>
      </c>
      <c r="G62" s="9" t="s">
        <v>493</v>
      </c>
    </row>
    <row r="63" customFormat="false" ht="35.05" hidden="false" customHeight="false" outlineLevel="0" collapsed="false">
      <c r="A63" s="8" t="s">
        <v>209</v>
      </c>
      <c r="B63" s="9" t="s">
        <v>210</v>
      </c>
      <c r="C63" s="9" t="s">
        <v>494</v>
      </c>
      <c r="D63" s="9" t="s">
        <v>495</v>
      </c>
      <c r="E63" s="9" t="s">
        <v>496</v>
      </c>
      <c r="F63" s="9" t="s">
        <v>497</v>
      </c>
      <c r="G63" s="9" t="s">
        <v>498</v>
      </c>
    </row>
    <row r="64" customFormat="false" ht="35.05" hidden="false" customHeight="false" outlineLevel="0" collapsed="false">
      <c r="A64" s="8" t="s">
        <v>211</v>
      </c>
      <c r="B64" s="9" t="s">
        <v>212</v>
      </c>
      <c r="C64" s="9" t="s">
        <v>499</v>
      </c>
      <c r="D64" s="9" t="s">
        <v>500</v>
      </c>
      <c r="E64" s="9" t="s">
        <v>501</v>
      </c>
      <c r="F64" s="9" t="s">
        <v>502</v>
      </c>
      <c r="G64" s="9" t="s">
        <v>503</v>
      </c>
    </row>
    <row r="65" customFormat="false" ht="23.85" hidden="false" customHeight="false" outlineLevel="0" collapsed="false">
      <c r="A65" s="8" t="s">
        <v>213</v>
      </c>
      <c r="B65" s="9" t="s">
        <v>214</v>
      </c>
      <c r="C65" s="9" t="s">
        <v>504</v>
      </c>
      <c r="D65" s="9" t="s">
        <v>505</v>
      </c>
      <c r="E65" s="9" t="s">
        <v>506</v>
      </c>
      <c r="F65" s="9" t="s">
        <v>507</v>
      </c>
      <c r="G65" s="9" t="s">
        <v>475</v>
      </c>
    </row>
    <row r="66" customFormat="false" ht="46.25" hidden="false" customHeight="false" outlineLevel="0" collapsed="false">
      <c r="A66" s="8" t="s">
        <v>215</v>
      </c>
      <c r="B66" s="9" t="s">
        <v>216</v>
      </c>
      <c r="C66" s="9" t="s">
        <v>508</v>
      </c>
      <c r="D66" s="9" t="s">
        <v>509</v>
      </c>
      <c r="E66" s="9" t="s">
        <v>510</v>
      </c>
      <c r="F66" s="9" t="s">
        <v>511</v>
      </c>
      <c r="G66" s="9" t="s">
        <v>512</v>
      </c>
    </row>
    <row r="67" customFormat="false" ht="46.25" hidden="false" customHeight="false" outlineLevel="0" collapsed="false">
      <c r="A67" s="8" t="s">
        <v>217</v>
      </c>
      <c r="B67" s="9" t="s">
        <v>218</v>
      </c>
      <c r="C67" s="9" t="s">
        <v>513</v>
      </c>
      <c r="D67" s="9" t="s">
        <v>514</v>
      </c>
      <c r="E67" s="9" t="s">
        <v>515</v>
      </c>
      <c r="F67" s="9" t="s">
        <v>516</v>
      </c>
      <c r="G67" s="9" t="s">
        <v>517</v>
      </c>
    </row>
    <row r="68" customFormat="false" ht="46.25" hidden="false" customHeight="false" outlineLevel="0" collapsed="false">
      <c r="A68" s="8" t="s">
        <v>219</v>
      </c>
      <c r="B68" s="9" t="s">
        <v>220</v>
      </c>
      <c r="C68" s="9" t="s">
        <v>518</v>
      </c>
      <c r="D68" s="9" t="s">
        <v>519</v>
      </c>
      <c r="E68" s="9" t="s">
        <v>520</v>
      </c>
      <c r="F68" s="9" t="s">
        <v>521</v>
      </c>
      <c r="G68" s="9" t="s">
        <v>522</v>
      </c>
    </row>
    <row r="69" customFormat="false" ht="46.25" hidden="false" customHeight="false" outlineLevel="0" collapsed="false">
      <c r="A69" s="8" t="s">
        <v>221</v>
      </c>
      <c r="B69" s="9" t="s">
        <v>222</v>
      </c>
      <c r="C69" s="9" t="s">
        <v>523</v>
      </c>
      <c r="D69" s="9" t="s">
        <v>524</v>
      </c>
      <c r="E69" s="9" t="s">
        <v>525</v>
      </c>
      <c r="F69" s="9" t="s">
        <v>526</v>
      </c>
      <c r="G69" s="9" t="s">
        <v>527</v>
      </c>
    </row>
    <row r="70" customFormat="false" ht="46.25" hidden="false" customHeight="false" outlineLevel="0" collapsed="false">
      <c r="A70" s="8" t="s">
        <v>223</v>
      </c>
      <c r="B70" s="9" t="s">
        <v>224</v>
      </c>
      <c r="C70" s="9" t="s">
        <v>528</v>
      </c>
      <c r="D70" s="9" t="s">
        <v>529</v>
      </c>
      <c r="E70" s="9" t="s">
        <v>530</v>
      </c>
      <c r="F70" s="9" t="s">
        <v>531</v>
      </c>
      <c r="G70" s="9" t="s">
        <v>532</v>
      </c>
    </row>
    <row r="71" customFormat="false" ht="23.85" hidden="false" customHeight="false" outlineLevel="0" collapsed="false">
      <c r="A71" s="8" t="s">
        <v>225</v>
      </c>
      <c r="B71" s="9" t="s">
        <v>226</v>
      </c>
      <c r="C71" s="9" t="s">
        <v>438</v>
      </c>
      <c r="D71" s="9" t="s">
        <v>321</v>
      </c>
      <c r="E71" s="9" t="s">
        <v>443</v>
      </c>
      <c r="F71" s="9" t="s">
        <v>444</v>
      </c>
      <c r="G71" s="9" t="s">
        <v>445</v>
      </c>
    </row>
    <row r="72" customFormat="false" ht="23.85" hidden="false" customHeight="false" outlineLevel="0" collapsed="false">
      <c r="A72" s="8" t="s">
        <v>227</v>
      </c>
      <c r="B72" s="9" t="s">
        <v>228</v>
      </c>
      <c r="C72" s="9" t="s">
        <v>533</v>
      </c>
      <c r="D72" s="9" t="s">
        <v>534</v>
      </c>
      <c r="E72" s="9" t="s">
        <v>535</v>
      </c>
      <c r="F72" s="9" t="s">
        <v>536</v>
      </c>
      <c r="G72" s="9" t="s">
        <v>475</v>
      </c>
    </row>
    <row r="73" customFormat="false" ht="46.25" hidden="false" customHeight="false" outlineLevel="0" collapsed="false">
      <c r="A73" s="8" t="s">
        <v>231</v>
      </c>
      <c r="B73" s="9" t="s">
        <v>232</v>
      </c>
      <c r="C73" s="9" t="s">
        <v>537</v>
      </c>
      <c r="D73" s="9" t="s">
        <v>538</v>
      </c>
      <c r="E73" s="9" t="s">
        <v>539</v>
      </c>
      <c r="F73" s="9" t="s">
        <v>540</v>
      </c>
      <c r="G73" s="9" t="s">
        <v>541</v>
      </c>
    </row>
    <row r="74" customFormat="false" ht="23.85" hidden="false" customHeight="false" outlineLevel="0" collapsed="false">
      <c r="A74" s="8" t="s">
        <v>233</v>
      </c>
      <c r="B74" s="9" t="s">
        <v>234</v>
      </c>
      <c r="C74" s="9" t="s">
        <v>318</v>
      </c>
      <c r="D74" s="9" t="s">
        <v>542</v>
      </c>
      <c r="E74" s="9" t="s">
        <v>321</v>
      </c>
      <c r="F74" s="9" t="s">
        <v>443</v>
      </c>
      <c r="G74" s="9" t="s">
        <v>475</v>
      </c>
    </row>
    <row r="75" customFormat="false" ht="23.85" hidden="false" customHeight="false" outlineLevel="0" collapsed="false">
      <c r="A75" s="8" t="s">
        <v>235</v>
      </c>
      <c r="B75" s="9" t="s">
        <v>236</v>
      </c>
      <c r="C75" s="9" t="s">
        <v>438</v>
      </c>
      <c r="D75" s="9" t="s">
        <v>321</v>
      </c>
      <c r="E75" s="9" t="s">
        <v>443</v>
      </c>
      <c r="F75" s="9" t="s">
        <v>444</v>
      </c>
      <c r="G75" s="9" t="s">
        <v>445</v>
      </c>
    </row>
    <row r="76" customFormat="false" ht="23.85" hidden="false" customHeight="false" outlineLevel="0" collapsed="false">
      <c r="A76" s="8" t="s">
        <v>237</v>
      </c>
      <c r="B76" s="9" t="s">
        <v>238</v>
      </c>
      <c r="C76" s="9" t="s">
        <v>438</v>
      </c>
      <c r="D76" s="9" t="s">
        <v>321</v>
      </c>
      <c r="E76" s="9" t="s">
        <v>443</v>
      </c>
      <c r="F76" s="9" t="s">
        <v>444</v>
      </c>
      <c r="G76" s="9" t="s">
        <v>445</v>
      </c>
    </row>
    <row r="77" customFormat="false" ht="23.85" hidden="false" customHeight="false" outlineLevel="0" collapsed="false">
      <c r="A77" s="8" t="s">
        <v>239</v>
      </c>
      <c r="B77" s="9" t="s">
        <v>240</v>
      </c>
      <c r="C77" s="9" t="s">
        <v>438</v>
      </c>
      <c r="D77" s="9" t="s">
        <v>321</v>
      </c>
      <c r="E77" s="9" t="s">
        <v>443</v>
      </c>
      <c r="F77" s="9" t="s">
        <v>444</v>
      </c>
      <c r="G77" s="9" t="s">
        <v>445</v>
      </c>
    </row>
    <row r="78" customFormat="false" ht="23.85" hidden="false" customHeight="false" outlineLevel="0" collapsed="false">
      <c r="A78" s="8" t="s">
        <v>241</v>
      </c>
      <c r="B78" s="9" t="s">
        <v>242</v>
      </c>
      <c r="C78" s="9" t="s">
        <v>438</v>
      </c>
      <c r="D78" s="9" t="s">
        <v>321</v>
      </c>
      <c r="E78" s="9" t="s">
        <v>443</v>
      </c>
      <c r="F78" s="9" t="s">
        <v>444</v>
      </c>
      <c r="G78" s="9" t="s">
        <v>445</v>
      </c>
    </row>
    <row r="79" customFormat="false" ht="35.05" hidden="false" customHeight="false" outlineLevel="0" collapsed="false">
      <c r="A79" s="8" t="s">
        <v>243</v>
      </c>
      <c r="B79" s="9" t="s">
        <v>244</v>
      </c>
      <c r="C79" s="9" t="s">
        <v>543</v>
      </c>
      <c r="D79" s="9" t="s">
        <v>544</v>
      </c>
      <c r="E79" s="9" t="s">
        <v>545</v>
      </c>
      <c r="F79" s="9" t="s">
        <v>546</v>
      </c>
      <c r="G79" s="9" t="s">
        <v>547</v>
      </c>
    </row>
    <row r="80" customFormat="false" ht="46.25" hidden="false" customHeight="false" outlineLevel="0" collapsed="false">
      <c r="A80" s="8" t="s">
        <v>245</v>
      </c>
      <c r="B80" s="9" t="s">
        <v>246</v>
      </c>
      <c r="C80" s="9" t="s">
        <v>548</v>
      </c>
      <c r="D80" s="9" t="s">
        <v>549</v>
      </c>
      <c r="E80" s="9" t="s">
        <v>550</v>
      </c>
      <c r="F80" s="9" t="s">
        <v>551</v>
      </c>
      <c r="G80" s="9" t="s">
        <v>552</v>
      </c>
    </row>
    <row r="81" customFormat="false" ht="46.25" hidden="false" customHeight="false" outlineLevel="0" collapsed="false">
      <c r="A81" s="8" t="s">
        <v>248</v>
      </c>
      <c r="B81" s="9" t="s">
        <v>249</v>
      </c>
      <c r="C81" s="9" t="s">
        <v>553</v>
      </c>
      <c r="D81" s="9" t="s">
        <v>554</v>
      </c>
      <c r="E81" s="9" t="s">
        <v>555</v>
      </c>
      <c r="F81" s="9" t="s">
        <v>556</v>
      </c>
      <c r="G81" s="9" t="s">
        <v>557</v>
      </c>
    </row>
    <row r="82" customFormat="false" ht="46.25" hidden="false" customHeight="false" outlineLevel="0" collapsed="false">
      <c r="A82" s="8" t="s">
        <v>251</v>
      </c>
      <c r="B82" s="9" t="s">
        <v>252</v>
      </c>
      <c r="C82" s="9" t="s">
        <v>558</v>
      </c>
      <c r="D82" s="9" t="s">
        <v>559</v>
      </c>
      <c r="E82" s="9" t="s">
        <v>560</v>
      </c>
      <c r="F82" s="9" t="s">
        <v>561</v>
      </c>
      <c r="G82" s="9" t="s">
        <v>562</v>
      </c>
    </row>
    <row r="83" customFormat="false" ht="35.05" hidden="false" customHeight="false" outlineLevel="0" collapsed="false">
      <c r="A83" s="8" t="s">
        <v>253</v>
      </c>
      <c r="B83" s="9" t="s">
        <v>254</v>
      </c>
      <c r="C83" s="9" t="s">
        <v>563</v>
      </c>
      <c r="D83" s="9" t="s">
        <v>564</v>
      </c>
      <c r="E83" s="9" t="s">
        <v>565</v>
      </c>
      <c r="F83" s="9" t="s">
        <v>566</v>
      </c>
      <c r="G83" s="9" t="s">
        <v>567</v>
      </c>
    </row>
    <row r="84" customFormat="false" ht="23.85" hidden="false" customHeight="false" outlineLevel="0" collapsed="false">
      <c r="A84" s="8" t="s">
        <v>256</v>
      </c>
      <c r="B84" s="9" t="s">
        <v>257</v>
      </c>
      <c r="C84" s="9" t="s">
        <v>568</v>
      </c>
      <c r="D84" s="9" t="s">
        <v>569</v>
      </c>
      <c r="E84" s="9" t="s">
        <v>570</v>
      </c>
      <c r="F84" s="9" t="s">
        <v>571</v>
      </c>
      <c r="G84" s="9" t="s">
        <v>572</v>
      </c>
    </row>
    <row r="85" customFormat="false" ht="15" hidden="false" customHeight="false" outlineLevel="0" collapsed="false">
      <c r="A85" s="8" t="s">
        <v>261</v>
      </c>
      <c r="B85" s="9" t="s">
        <v>262</v>
      </c>
      <c r="C85" s="9" t="s">
        <v>305</v>
      </c>
      <c r="D85" s="9" t="s">
        <v>306</v>
      </c>
      <c r="E85" s="9" t="s">
        <v>307</v>
      </c>
      <c r="F85" s="9" t="s">
        <v>308</v>
      </c>
      <c r="G85" s="9" t="s">
        <v>309</v>
      </c>
    </row>
    <row r="86" customFormat="false" ht="23.85" hidden="false" customHeight="false" outlineLevel="0" collapsed="false">
      <c r="A86" s="8" t="s">
        <v>263</v>
      </c>
      <c r="B86" s="9" t="s">
        <v>264</v>
      </c>
      <c r="C86" s="9" t="s">
        <v>568</v>
      </c>
      <c r="D86" s="9" t="s">
        <v>569</v>
      </c>
      <c r="E86" s="9" t="s">
        <v>573</v>
      </c>
      <c r="F86" s="9" t="s">
        <v>574</v>
      </c>
      <c r="G86" s="9" t="s">
        <v>575</v>
      </c>
    </row>
    <row r="87" customFormat="false" ht="15" hidden="false" customHeight="false" outlineLevel="0" collapsed="false">
      <c r="A87" s="8" t="s">
        <v>265</v>
      </c>
      <c r="B87" s="9" t="s">
        <v>266</v>
      </c>
      <c r="C87" s="9" t="s">
        <v>438</v>
      </c>
      <c r="D87" s="9" t="s">
        <v>321</v>
      </c>
      <c r="E87" s="9" t="s">
        <v>443</v>
      </c>
      <c r="F87" s="9" t="s">
        <v>444</v>
      </c>
      <c r="G87" s="9" t="s">
        <v>445</v>
      </c>
    </row>
    <row r="88" customFormat="false" ht="23.85" hidden="false" customHeight="false" outlineLevel="0" collapsed="false">
      <c r="A88" s="8" t="s">
        <v>267</v>
      </c>
      <c r="B88" s="9" t="s">
        <v>268</v>
      </c>
      <c r="C88" s="9" t="s">
        <v>438</v>
      </c>
      <c r="D88" s="9" t="s">
        <v>321</v>
      </c>
      <c r="E88" s="9" t="s">
        <v>576</v>
      </c>
      <c r="F88" s="9" t="s">
        <v>577</v>
      </c>
      <c r="G88" s="9" t="s">
        <v>475</v>
      </c>
    </row>
    <row r="89" customFormat="false" ht="23.85" hidden="false" customHeight="false" outlineLevel="0" collapsed="false">
      <c r="A89" s="8" t="s">
        <v>269</v>
      </c>
      <c r="B89" s="9" t="s">
        <v>270</v>
      </c>
      <c r="C89" s="9" t="s">
        <v>578</v>
      </c>
      <c r="D89" s="9" t="s">
        <v>579</v>
      </c>
      <c r="E89" s="9" t="s">
        <v>314</v>
      </c>
      <c r="F89" s="9" t="s">
        <v>315</v>
      </c>
      <c r="G89" s="9" t="s">
        <v>580</v>
      </c>
    </row>
    <row r="90" customFormat="false" ht="23.85" hidden="false" customHeight="false" outlineLevel="0" collapsed="false">
      <c r="A90" s="8" t="s">
        <v>271</v>
      </c>
      <c r="B90" s="9" t="s">
        <v>272</v>
      </c>
      <c r="C90" s="9" t="s">
        <v>438</v>
      </c>
      <c r="D90" s="9" t="s">
        <v>321</v>
      </c>
      <c r="E90" s="9" t="s">
        <v>443</v>
      </c>
      <c r="F90" s="9" t="s">
        <v>444</v>
      </c>
      <c r="G90" s="9" t="s">
        <v>445</v>
      </c>
    </row>
    <row r="91" customFormat="false" ht="23.85" hidden="false" customHeight="false" outlineLevel="0" collapsed="false">
      <c r="A91" s="8" t="s">
        <v>273</v>
      </c>
      <c r="B91" s="9" t="s">
        <v>274</v>
      </c>
      <c r="C91" s="9" t="s">
        <v>438</v>
      </c>
      <c r="D91" s="9" t="s">
        <v>321</v>
      </c>
      <c r="E91" s="9" t="s">
        <v>443</v>
      </c>
      <c r="F91" s="9" t="s">
        <v>444</v>
      </c>
      <c r="G91" s="9" t="s">
        <v>445</v>
      </c>
    </row>
    <row r="92" customFormat="false" ht="23.85" hidden="false" customHeight="false" outlineLevel="0" collapsed="false">
      <c r="A92" s="8" t="s">
        <v>275</v>
      </c>
      <c r="B92" s="9" t="s">
        <v>276</v>
      </c>
      <c r="C92" s="9" t="s">
        <v>438</v>
      </c>
      <c r="D92" s="9" t="s">
        <v>321</v>
      </c>
      <c r="E92" s="9" t="s">
        <v>443</v>
      </c>
      <c r="F92" s="9" t="s">
        <v>444</v>
      </c>
      <c r="G92" s="9" t="s">
        <v>445</v>
      </c>
    </row>
    <row r="93" customFormat="false" ht="23.85" hidden="false" customHeight="false" outlineLevel="0" collapsed="false">
      <c r="A93" s="8" t="s">
        <v>277</v>
      </c>
      <c r="B93" s="9" t="s">
        <v>278</v>
      </c>
      <c r="C93" s="9" t="s">
        <v>305</v>
      </c>
      <c r="D93" s="9" t="s">
        <v>306</v>
      </c>
      <c r="E93" s="9" t="s">
        <v>307</v>
      </c>
      <c r="F93" s="9" t="s">
        <v>308</v>
      </c>
      <c r="G93" s="9" t="s">
        <v>309</v>
      </c>
    </row>
    <row r="94" customFormat="false" ht="23.85" hidden="false" customHeight="false" outlineLevel="0" collapsed="false">
      <c r="A94" s="8" t="s">
        <v>280</v>
      </c>
      <c r="B94" s="9" t="s">
        <v>281</v>
      </c>
      <c r="C94" s="9" t="s">
        <v>476</v>
      </c>
      <c r="D94" s="9" t="s">
        <v>443</v>
      </c>
      <c r="E94" s="9" t="s">
        <v>444</v>
      </c>
      <c r="F94" s="9" t="s">
        <v>581</v>
      </c>
      <c r="G94" s="9" t="s">
        <v>437</v>
      </c>
    </row>
    <row r="95" customFormat="false" ht="23.85" hidden="false" customHeight="false" outlineLevel="0" collapsed="false">
      <c r="A95" s="8" t="s">
        <v>282</v>
      </c>
      <c r="B95" s="9" t="s">
        <v>283</v>
      </c>
      <c r="C95" s="9" t="s">
        <v>582</v>
      </c>
      <c r="D95" s="9" t="s">
        <v>583</v>
      </c>
      <c r="E95" s="9" t="s">
        <v>584</v>
      </c>
      <c r="F95" s="9" t="s">
        <v>585</v>
      </c>
      <c r="G95" s="9" t="s">
        <v>586</v>
      </c>
    </row>
    <row r="96" customFormat="false" ht="23.85" hidden="false" customHeight="false" outlineLevel="0" collapsed="false">
      <c r="A96" s="8" t="s">
        <v>286</v>
      </c>
      <c r="B96" s="9" t="s">
        <v>287</v>
      </c>
      <c r="C96" s="9" t="s">
        <v>587</v>
      </c>
      <c r="D96" s="9" t="s">
        <v>583</v>
      </c>
      <c r="E96" s="9" t="s">
        <v>584</v>
      </c>
      <c r="F96" s="9" t="s">
        <v>585</v>
      </c>
      <c r="G96" s="9" t="s">
        <v>586</v>
      </c>
    </row>
    <row r="97" customFormat="false" ht="15" hidden="false" customHeight="false" outlineLevel="0" collapsed="false">
      <c r="A97" s="8" t="s">
        <v>289</v>
      </c>
      <c r="B97" s="9" t="s">
        <v>290</v>
      </c>
      <c r="C97" s="9" t="s">
        <v>438</v>
      </c>
      <c r="D97" s="9" t="s">
        <v>321</v>
      </c>
      <c r="E97" s="9" t="s">
        <v>443</v>
      </c>
      <c r="F97" s="9" t="s">
        <v>444</v>
      </c>
      <c r="G97" s="9" t="s">
        <v>445</v>
      </c>
    </row>
    <row r="98" customFormat="false" ht="23.85" hidden="false" customHeight="false" outlineLevel="0" collapsed="false">
      <c r="A98" s="8" t="s">
        <v>291</v>
      </c>
      <c r="B98" s="9" t="s">
        <v>292</v>
      </c>
      <c r="C98" s="9" t="s">
        <v>305</v>
      </c>
      <c r="D98" s="9" t="s">
        <v>306</v>
      </c>
      <c r="E98" s="9" t="s">
        <v>307</v>
      </c>
      <c r="F98" s="9" t="s">
        <v>308</v>
      </c>
      <c r="G98" s="9" t="s">
        <v>309</v>
      </c>
    </row>
  </sheetData>
  <autoFilter ref="A1:G98"/>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34"/>
    <col collapsed="false" customWidth="true" hidden="false" outlineLevel="0" max="3" min="3" style="0" width="13"/>
    <col collapsed="false" customWidth="true" hidden="false" outlineLevel="0" max="4" min="4" style="0" width="10"/>
    <col collapsed="false" customWidth="true" hidden="false" outlineLevel="0" max="5" min="5" style="0" width="20"/>
    <col collapsed="false" customWidth="true" hidden="false" outlineLevel="0" max="7" min="6" style="0" width="11"/>
  </cols>
  <sheetData>
    <row r="1" customFormat="false" ht="15" hidden="false" customHeight="false" outlineLevel="0" collapsed="false">
      <c r="A1" s="7" t="s">
        <v>42</v>
      </c>
      <c r="B1" s="7" t="s">
        <v>588</v>
      </c>
      <c r="C1" s="7" t="s">
        <v>44</v>
      </c>
      <c r="D1" s="7" t="s">
        <v>589</v>
      </c>
      <c r="E1" s="7" t="s">
        <v>590</v>
      </c>
      <c r="F1" s="7" t="s">
        <v>10</v>
      </c>
      <c r="G1" s="7" t="s">
        <v>12</v>
      </c>
    </row>
    <row r="2" customFormat="false" ht="15" hidden="false" customHeight="false" outlineLevel="0" collapsed="false">
      <c r="A2" s="8" t="s">
        <v>58</v>
      </c>
      <c r="B2" s="9" t="s">
        <v>591</v>
      </c>
      <c r="C2" s="8" t="s">
        <v>60</v>
      </c>
      <c r="D2" s="13"/>
      <c r="E2" s="8" t="s">
        <v>592</v>
      </c>
      <c r="F2" s="8" t="n">
        <f aca="false">COUNTIF(Indicators!$C$2:$C$98,$A2)</f>
        <v>8</v>
      </c>
      <c r="G2" s="8" t="n">
        <f aca="false">COUNTIFS(Indicators!$C$2:$C$98,$A2,Indicators!$I$2:$I$98,"YES")</f>
        <v>0</v>
      </c>
    </row>
    <row r="3" customFormat="false" ht="15" hidden="false" customHeight="false" outlineLevel="0" collapsed="false">
      <c r="A3" s="8" t="s">
        <v>91</v>
      </c>
      <c r="B3" s="9" t="s">
        <v>593</v>
      </c>
      <c r="C3" s="8" t="s">
        <v>85</v>
      </c>
      <c r="D3" s="13" t="n">
        <v>0.25</v>
      </c>
      <c r="E3" s="8" t="s">
        <v>594</v>
      </c>
      <c r="F3" s="8" t="n">
        <f aca="false">COUNTIF(Indicators!$C$2:$C$98,$A3)</f>
        <v>11</v>
      </c>
      <c r="G3" s="8" t="n">
        <f aca="false">COUNTIFS(Indicators!$C$2:$C$98,$A3,Indicators!$I$2:$I$98,"YES")</f>
        <v>3</v>
      </c>
    </row>
    <row r="4" customFormat="false" ht="15" hidden="false" customHeight="false" outlineLevel="0" collapsed="false">
      <c r="A4" s="8" t="s">
        <v>121</v>
      </c>
      <c r="B4" s="9" t="s">
        <v>595</v>
      </c>
      <c r="C4" s="8" t="s">
        <v>85</v>
      </c>
      <c r="D4" s="13" t="n">
        <v>0.3</v>
      </c>
      <c r="E4" s="8" t="s">
        <v>594</v>
      </c>
      <c r="F4" s="8" t="n">
        <f aca="false">COUNTIF(Indicators!$C$2:$C$98,$A4)</f>
        <v>12</v>
      </c>
      <c r="G4" s="8" t="n">
        <f aca="false">COUNTIFS(Indicators!$C$2:$C$98,$A4,Indicators!$I$2:$I$98,"YES")</f>
        <v>2</v>
      </c>
    </row>
    <row r="5" customFormat="false" ht="15" hidden="false" customHeight="false" outlineLevel="0" collapsed="false">
      <c r="A5" s="8" t="s">
        <v>148</v>
      </c>
      <c r="B5" s="9" t="s">
        <v>596</v>
      </c>
      <c r="C5" s="8" t="s">
        <v>85</v>
      </c>
      <c r="D5" s="13" t="n">
        <v>0.25</v>
      </c>
      <c r="E5" s="8" t="s">
        <v>594</v>
      </c>
      <c r="F5" s="8" t="n">
        <f aca="false">COUNTIF(Indicators!$C$2:$C$98,$A5)</f>
        <v>13</v>
      </c>
      <c r="G5" s="8" t="n">
        <f aca="false">COUNTIFS(Indicators!$C$2:$C$98,$A5,Indicators!$I$2:$I$98,"YES")</f>
        <v>4</v>
      </c>
    </row>
    <row r="6" customFormat="false" ht="15" hidden="false" customHeight="false" outlineLevel="0" collapsed="false">
      <c r="A6" s="8" t="s">
        <v>83</v>
      </c>
      <c r="B6" s="9" t="s">
        <v>597</v>
      </c>
      <c r="C6" s="8" t="s">
        <v>85</v>
      </c>
      <c r="D6" s="13" t="n">
        <v>0.2</v>
      </c>
      <c r="E6" s="8" t="s">
        <v>594</v>
      </c>
      <c r="F6" s="8" t="n">
        <f aca="false">COUNTIF(Indicators!$C$2:$C$98,$A6)</f>
        <v>13</v>
      </c>
      <c r="G6" s="8" t="n">
        <f aca="false">COUNTIFS(Indicators!$C$2:$C$98,$A6,Indicators!$I$2:$I$98,"YES")</f>
        <v>2</v>
      </c>
    </row>
    <row r="7" customFormat="false" ht="15" hidden="false" customHeight="false" outlineLevel="0" collapsed="false">
      <c r="A7" s="8" t="s">
        <v>200</v>
      </c>
      <c r="B7" s="9" t="s">
        <v>598</v>
      </c>
      <c r="C7" s="8" t="s">
        <v>202</v>
      </c>
      <c r="D7" s="13" t="n">
        <v>0.55</v>
      </c>
      <c r="E7" s="8" t="s">
        <v>594</v>
      </c>
      <c r="F7" s="8" t="n">
        <f aca="false">COUNTIF(Indicators!$C$2:$C$98,$A7)</f>
        <v>13</v>
      </c>
      <c r="G7" s="8" t="n">
        <f aca="false">COUNTIFS(Indicators!$C$2:$C$98,$A7,Indicators!$I$2:$I$98,"YES")</f>
        <v>0</v>
      </c>
    </row>
    <row r="8" customFormat="false" ht="15" hidden="false" customHeight="false" outlineLevel="0" collapsed="false">
      <c r="A8" s="8" t="s">
        <v>229</v>
      </c>
      <c r="B8" s="9" t="s">
        <v>599</v>
      </c>
      <c r="C8" s="8" t="s">
        <v>202</v>
      </c>
      <c r="D8" s="13" t="n">
        <v>0.45</v>
      </c>
      <c r="E8" s="8" t="s">
        <v>594</v>
      </c>
      <c r="F8" s="8" t="n">
        <f aca="false">COUNTIF(Indicators!$C$2:$C$98,$A8)</f>
        <v>12</v>
      </c>
      <c r="G8" s="8" t="n">
        <f aca="false">COUNTIFS(Indicators!$C$2:$C$98,$A8,Indicators!$I$2:$I$98,"YES")</f>
        <v>2</v>
      </c>
    </row>
    <row r="9" customFormat="false" ht="15" hidden="false" customHeight="false" outlineLevel="0" collapsed="false">
      <c r="A9" s="8" t="s">
        <v>258</v>
      </c>
      <c r="B9" s="9" t="s">
        <v>600</v>
      </c>
      <c r="C9" s="8" t="s">
        <v>260</v>
      </c>
      <c r="D9" s="13" t="n">
        <v>1</v>
      </c>
      <c r="E9" s="8" t="s">
        <v>594</v>
      </c>
      <c r="F9" s="8" t="n">
        <f aca="false">COUNTIF(Indicators!$C$2:$C$98,$A9)</f>
        <v>15</v>
      </c>
      <c r="G9" s="8" t="n">
        <f aca="false">COUNTIFS(Indicators!$C$2:$C$98,$A9,Indicators!$I$2:$I$98,"YES")</f>
        <v>0</v>
      </c>
    </row>
    <row r="10" customFormat="false" ht="15" hidden="false" customHeight="false" outlineLevel="0" collapsed="false">
      <c r="A10" s="14" t="s">
        <v>601</v>
      </c>
      <c r="B10" s="15"/>
      <c r="C10" s="14"/>
      <c r="D10" s="14"/>
      <c r="E10" s="14"/>
      <c r="F10" s="14" t="n">
        <f aca="false">SUM(F2:F9)</f>
        <v>97</v>
      </c>
      <c r="G10" s="14" t="n">
        <f aca="false">SUM(G2:G9)</f>
        <v>13</v>
      </c>
    </row>
    <row r="12" customFormat="false" ht="15" hidden="false" customHeight="false" outlineLevel="0" collapsed="false">
      <c r="A12" s="2" t="s">
        <v>602</v>
      </c>
    </row>
    <row r="13" customFormat="false" ht="15" hidden="false" customHeight="false" outlineLevel="0" collapsed="false">
      <c r="A13" s="5" t="s">
        <v>603</v>
      </c>
      <c r="D13" s="16" t="n">
        <f aca="false">SUMIF($C$2:$C$9,"Capability",$D$2:$D$9)</f>
        <v>1</v>
      </c>
    </row>
    <row r="14" customFormat="false" ht="15" hidden="false" customHeight="false" outlineLevel="0" collapsed="false">
      <c r="A14" s="5" t="s">
        <v>604</v>
      </c>
      <c r="D14" s="16" t="n">
        <f aca="false">SUMIF($C$2:$C$9,"Ecosystem",$D$2:$D$9)</f>
        <v>1</v>
      </c>
    </row>
    <row r="15" customFormat="false" ht="15" hidden="false" customHeight="false" outlineLevel="0" collapsed="false">
      <c r="A15" s="5" t="s">
        <v>605</v>
      </c>
      <c r="D15" s="16" t="n">
        <f aca="false">SUMIF($C$2:$C$9,"Outcome",$D$2:$D$9)</f>
        <v>1</v>
      </c>
    </row>
    <row r="16" customFormat="false" ht="15" hidden="false" customHeight="false" outlineLevel="0" collapsed="false">
      <c r="A16" s="17" t="s">
        <v>606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46"/>
    <col collapsed="false" customWidth="true" hidden="false" outlineLevel="0" max="3" min="3" style="0" width="8"/>
    <col collapsed="false" customWidth="true" hidden="false" outlineLevel="0" max="4" min="4" style="0" width="24"/>
    <col collapsed="false" customWidth="true" hidden="false" outlineLevel="0" max="5" min="5" style="0" width="56"/>
  </cols>
  <sheetData>
    <row r="1" customFormat="false" ht="15" hidden="false" customHeight="false" outlineLevel="0" collapsed="false">
      <c r="A1" s="7" t="s">
        <v>40</v>
      </c>
      <c r="B1" s="7" t="s">
        <v>41</v>
      </c>
      <c r="C1" s="7" t="s">
        <v>42</v>
      </c>
      <c r="D1" s="7" t="s">
        <v>46</v>
      </c>
      <c r="E1" s="7" t="s">
        <v>607</v>
      </c>
    </row>
    <row r="2" customFormat="false" ht="23.85" hidden="false" customHeight="false" outlineLevel="0" collapsed="false">
      <c r="A2" s="8" t="s">
        <v>89</v>
      </c>
      <c r="B2" s="9" t="s">
        <v>90</v>
      </c>
      <c r="C2" s="8" t="s">
        <v>91</v>
      </c>
      <c r="D2" s="9" t="s">
        <v>93</v>
      </c>
      <c r="E2" s="9" t="s">
        <v>608</v>
      </c>
    </row>
    <row r="3" customFormat="false" ht="23.85" hidden="false" customHeight="false" outlineLevel="0" collapsed="false">
      <c r="A3" s="8" t="s">
        <v>104</v>
      </c>
      <c r="B3" s="9" t="s">
        <v>105</v>
      </c>
      <c r="C3" s="8" t="s">
        <v>91</v>
      </c>
      <c r="D3" s="9" t="s">
        <v>93</v>
      </c>
      <c r="E3" s="9" t="s">
        <v>608</v>
      </c>
    </row>
    <row r="4" customFormat="false" ht="23.85" hidden="false" customHeight="false" outlineLevel="0" collapsed="false">
      <c r="A4" s="8" t="s">
        <v>113</v>
      </c>
      <c r="B4" s="9" t="s">
        <v>114</v>
      </c>
      <c r="C4" s="8" t="s">
        <v>91</v>
      </c>
      <c r="D4" s="9" t="s">
        <v>93</v>
      </c>
      <c r="E4" s="9" t="s">
        <v>608</v>
      </c>
    </row>
    <row r="5" customFormat="false" ht="23.85" hidden="false" customHeight="false" outlineLevel="0" collapsed="false">
      <c r="A5" s="8" t="s">
        <v>125</v>
      </c>
      <c r="B5" s="9" t="s">
        <v>126</v>
      </c>
      <c r="C5" s="8" t="s">
        <v>121</v>
      </c>
      <c r="D5" s="9" t="s">
        <v>86</v>
      </c>
      <c r="E5" s="9" t="s">
        <v>608</v>
      </c>
    </row>
    <row r="6" customFormat="false" ht="23.85" hidden="false" customHeight="false" outlineLevel="0" collapsed="false">
      <c r="A6" s="8" t="s">
        <v>142</v>
      </c>
      <c r="B6" s="9" t="s">
        <v>143</v>
      </c>
      <c r="C6" s="8" t="s">
        <v>121</v>
      </c>
      <c r="D6" s="9" t="s">
        <v>86</v>
      </c>
      <c r="E6" s="9" t="s">
        <v>608</v>
      </c>
    </row>
    <row r="7" customFormat="false" ht="23.85" hidden="false" customHeight="false" outlineLevel="0" collapsed="false">
      <c r="A7" s="8" t="s">
        <v>146</v>
      </c>
      <c r="B7" s="9" t="s">
        <v>147</v>
      </c>
      <c r="C7" s="8" t="s">
        <v>148</v>
      </c>
      <c r="D7" s="9" t="s">
        <v>86</v>
      </c>
      <c r="E7" s="9" t="s">
        <v>608</v>
      </c>
    </row>
    <row r="8" customFormat="false" ht="23.85" hidden="false" customHeight="false" outlineLevel="0" collapsed="false">
      <c r="A8" s="8" t="s">
        <v>150</v>
      </c>
      <c r="B8" s="9" t="s">
        <v>151</v>
      </c>
      <c r="C8" s="8" t="s">
        <v>148</v>
      </c>
      <c r="D8" s="9" t="s">
        <v>93</v>
      </c>
      <c r="E8" s="9" t="s">
        <v>608</v>
      </c>
    </row>
    <row r="9" customFormat="false" ht="23.85" hidden="false" customHeight="false" outlineLevel="0" collapsed="false">
      <c r="A9" s="8" t="s">
        <v>156</v>
      </c>
      <c r="B9" s="9" t="s">
        <v>157</v>
      </c>
      <c r="C9" s="8" t="s">
        <v>148</v>
      </c>
      <c r="D9" s="9" t="s">
        <v>86</v>
      </c>
      <c r="E9" s="9" t="s">
        <v>608</v>
      </c>
    </row>
    <row r="10" customFormat="false" ht="23.85" hidden="false" customHeight="false" outlineLevel="0" collapsed="false">
      <c r="A10" s="8" t="s">
        <v>164</v>
      </c>
      <c r="B10" s="9" t="s">
        <v>165</v>
      </c>
      <c r="C10" s="8" t="s">
        <v>148</v>
      </c>
      <c r="D10" s="9" t="s">
        <v>86</v>
      </c>
      <c r="E10" s="9" t="s">
        <v>608</v>
      </c>
    </row>
    <row r="11" customFormat="false" ht="23.85" hidden="false" customHeight="false" outlineLevel="0" collapsed="false">
      <c r="A11" s="8" t="s">
        <v>182</v>
      </c>
      <c r="B11" s="9" t="s">
        <v>183</v>
      </c>
      <c r="C11" s="8" t="s">
        <v>83</v>
      </c>
      <c r="D11" s="9" t="s">
        <v>93</v>
      </c>
      <c r="E11" s="9" t="s">
        <v>608</v>
      </c>
    </row>
    <row r="12" customFormat="false" ht="23.85" hidden="false" customHeight="false" outlineLevel="0" collapsed="false">
      <c r="A12" s="8" t="s">
        <v>186</v>
      </c>
      <c r="B12" s="9" t="s">
        <v>187</v>
      </c>
      <c r="C12" s="8" t="s">
        <v>83</v>
      </c>
      <c r="D12" s="9" t="s">
        <v>86</v>
      </c>
      <c r="E12" s="9" t="s">
        <v>608</v>
      </c>
    </row>
    <row r="13" customFormat="false" ht="23.85" hidden="false" customHeight="false" outlineLevel="0" collapsed="false">
      <c r="A13" s="8" t="s">
        <v>245</v>
      </c>
      <c r="B13" s="9" t="s">
        <v>246</v>
      </c>
      <c r="C13" s="8" t="s">
        <v>229</v>
      </c>
      <c r="D13" s="9" t="s">
        <v>86</v>
      </c>
      <c r="E13" s="9" t="s">
        <v>608</v>
      </c>
    </row>
    <row r="14" customFormat="false" ht="23.85" hidden="false" customHeight="false" outlineLevel="0" collapsed="false">
      <c r="A14" s="8" t="s">
        <v>253</v>
      </c>
      <c r="B14" s="9" t="s">
        <v>254</v>
      </c>
      <c r="C14" s="8" t="s">
        <v>229</v>
      </c>
      <c r="D14" s="9" t="s">
        <v>86</v>
      </c>
      <c r="E14" s="9" t="s">
        <v>608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78"/>
    <col collapsed="false" customWidth="true" hidden="false" outlineLevel="0" max="4" min="4" style="0" width="10"/>
  </cols>
  <sheetData>
    <row r="1" customFormat="false" ht="15" hidden="false" customHeight="false" outlineLevel="0" collapsed="false">
      <c r="A1" s="4" t="s">
        <v>609</v>
      </c>
    </row>
    <row r="2" customFormat="false" ht="15" hidden="false" customHeight="false" outlineLevel="0" collapsed="false">
      <c r="A2" s="18" t="s">
        <v>610</v>
      </c>
      <c r="B2" s="18" t="s">
        <v>611</v>
      </c>
      <c r="C2" s="18" t="s">
        <v>612</v>
      </c>
      <c r="D2" s="18" t="s">
        <v>613</v>
      </c>
    </row>
    <row r="3" customFormat="false" ht="15" hidden="false" customHeight="false" outlineLevel="0" collapsed="false">
      <c r="A3" s="8" t="n">
        <v>1</v>
      </c>
      <c r="B3" s="8" t="s">
        <v>614</v>
      </c>
      <c r="C3" s="9" t="n">
        <v>1</v>
      </c>
      <c r="D3" s="9" t="n">
        <v>1.8</v>
      </c>
    </row>
    <row r="4" customFormat="false" ht="15" hidden="false" customHeight="false" outlineLevel="0" collapsed="false">
      <c r="A4" s="8" t="n">
        <v>2</v>
      </c>
      <c r="B4" s="8" t="s">
        <v>615</v>
      </c>
      <c r="C4" s="9" t="n">
        <v>1.8</v>
      </c>
      <c r="D4" s="9" t="n">
        <v>2.6</v>
      </c>
    </row>
    <row r="5" customFormat="false" ht="15" hidden="false" customHeight="false" outlineLevel="0" collapsed="false">
      <c r="A5" s="8" t="n">
        <v>3</v>
      </c>
      <c r="B5" s="8" t="s">
        <v>616</v>
      </c>
      <c r="C5" s="9" t="n">
        <v>2.6</v>
      </c>
      <c r="D5" s="9" t="n">
        <v>3.4</v>
      </c>
    </row>
    <row r="6" customFormat="false" ht="15" hidden="false" customHeight="false" outlineLevel="0" collapsed="false">
      <c r="A6" s="8" t="n">
        <v>4</v>
      </c>
      <c r="B6" s="8" t="s">
        <v>617</v>
      </c>
      <c r="C6" s="9" t="n">
        <v>3.4</v>
      </c>
      <c r="D6" s="9" t="n">
        <v>4.2</v>
      </c>
    </row>
    <row r="7" customFormat="false" ht="15" hidden="false" customHeight="false" outlineLevel="0" collapsed="false">
      <c r="A7" s="8" t="n">
        <v>5</v>
      </c>
      <c r="B7" s="8" t="s">
        <v>618</v>
      </c>
      <c r="C7" s="9" t="n">
        <v>4.2</v>
      </c>
      <c r="D7" s="9" t="n">
        <v>5.01</v>
      </c>
    </row>
    <row r="9" customFormat="false" ht="15" hidden="false" customHeight="false" outlineLevel="0" collapsed="false">
      <c r="A9" s="4" t="s">
        <v>619</v>
      </c>
    </row>
    <row r="10" customFormat="false" ht="15" hidden="false" customHeight="false" outlineLevel="0" collapsed="false">
      <c r="A10" s="18" t="s">
        <v>620</v>
      </c>
      <c r="B10" s="18" t="s">
        <v>621</v>
      </c>
      <c r="C10" s="18" t="s">
        <v>622</v>
      </c>
    </row>
    <row r="11" customFormat="false" ht="15" hidden="false" customHeight="false" outlineLevel="0" collapsed="false">
      <c r="A11" s="8" t="s">
        <v>623</v>
      </c>
      <c r="B11" s="8" t="n">
        <v>0.6</v>
      </c>
      <c r="C11" s="9" t="s">
        <v>624</v>
      </c>
    </row>
    <row r="12" customFormat="false" ht="15" hidden="false" customHeight="false" outlineLevel="0" collapsed="false">
      <c r="A12" s="8" t="s">
        <v>625</v>
      </c>
      <c r="B12" s="8" t="n">
        <v>0.7</v>
      </c>
      <c r="C12" s="9" t="s">
        <v>626</v>
      </c>
    </row>
    <row r="13" customFormat="false" ht="15" hidden="false" customHeight="false" outlineLevel="0" collapsed="false">
      <c r="A13" s="8" t="s">
        <v>627</v>
      </c>
      <c r="B13" s="8" t="n">
        <v>0.6</v>
      </c>
      <c r="C13" s="9" t="s">
        <v>628</v>
      </c>
    </row>
    <row r="14" customFormat="false" ht="15" hidden="false" customHeight="false" outlineLevel="0" collapsed="false">
      <c r="A14" s="8" t="s">
        <v>629</v>
      </c>
      <c r="B14" s="8" t="n">
        <v>0.5</v>
      </c>
      <c r="C14" s="9" t="s">
        <v>630</v>
      </c>
    </row>
    <row r="16" customFormat="false" ht="15" hidden="false" customHeight="false" outlineLevel="0" collapsed="false">
      <c r="A16" s="4" t="s">
        <v>631</v>
      </c>
    </row>
    <row r="17" customFormat="false" ht="15" hidden="false" customHeight="false" outlineLevel="0" collapsed="false">
      <c r="A17" s="18" t="s">
        <v>620</v>
      </c>
      <c r="B17" s="18" t="s">
        <v>621</v>
      </c>
      <c r="C17" s="18" t="s">
        <v>622</v>
      </c>
    </row>
    <row r="18" customFormat="false" ht="15" hidden="false" customHeight="false" outlineLevel="0" collapsed="false">
      <c r="A18" s="8" t="s">
        <v>632</v>
      </c>
      <c r="B18" s="8" t="n">
        <v>2.6</v>
      </c>
      <c r="C18" s="9" t="s">
        <v>633</v>
      </c>
    </row>
    <row r="19" customFormat="false" ht="15" hidden="false" customHeight="false" outlineLevel="0" collapsed="false">
      <c r="A19" s="8" t="s">
        <v>634</v>
      </c>
      <c r="B19" s="8" t="n">
        <v>3.4</v>
      </c>
      <c r="C19" s="9" t="s">
        <v>635</v>
      </c>
    </row>
    <row r="20" customFormat="false" ht="15" hidden="false" customHeight="false" outlineLevel="0" collapsed="false">
      <c r="A20" s="8" t="s">
        <v>636</v>
      </c>
      <c r="B20" s="8" t="n">
        <v>2.6</v>
      </c>
      <c r="C20" s="9" t="s">
        <v>637</v>
      </c>
    </row>
    <row r="21" customFormat="false" ht="15" hidden="false" customHeight="false" outlineLevel="0" collapsed="false">
      <c r="A21" s="8" t="s">
        <v>638</v>
      </c>
      <c r="B21" s="8" t="n">
        <v>4.2</v>
      </c>
      <c r="C21" s="9" t="s">
        <v>639</v>
      </c>
    </row>
    <row r="22" customFormat="false" ht="15" hidden="false" customHeight="false" outlineLevel="0" collapsed="false">
      <c r="A22" s="8" t="s">
        <v>640</v>
      </c>
      <c r="B22" s="8" t="n">
        <v>3.4</v>
      </c>
      <c r="C22" s="9" t="s">
        <v>641</v>
      </c>
    </row>
    <row r="23" customFormat="false" ht="15" hidden="false" customHeight="false" outlineLevel="0" collapsed="false">
      <c r="A23" s="8" t="s">
        <v>642</v>
      </c>
      <c r="B23" s="8" t="n">
        <v>2.6</v>
      </c>
      <c r="C23" s="9" t="s">
        <v>643</v>
      </c>
    </row>
    <row r="25" customFormat="false" ht="15" hidden="false" customHeight="false" outlineLevel="0" collapsed="false">
      <c r="A25" s="4" t="s">
        <v>644</v>
      </c>
    </row>
    <row r="26" customFormat="false" ht="15" hidden="false" customHeight="false" outlineLevel="0" collapsed="false">
      <c r="A26" s="18" t="s">
        <v>645</v>
      </c>
      <c r="B26" s="18" t="s">
        <v>589</v>
      </c>
      <c r="C26" s="18" t="s">
        <v>622</v>
      </c>
    </row>
    <row r="27" customFormat="false" ht="15" hidden="false" customHeight="false" outlineLevel="0" collapsed="false">
      <c r="A27" s="8" t="s">
        <v>646</v>
      </c>
      <c r="B27" s="8" t="n">
        <v>1</v>
      </c>
      <c r="C27" s="9" t="s">
        <v>647</v>
      </c>
    </row>
    <row r="28" customFormat="false" ht="15" hidden="false" customHeight="false" outlineLevel="0" collapsed="false">
      <c r="A28" s="8" t="s">
        <v>648</v>
      </c>
      <c r="B28" s="8" t="n">
        <v>0.6</v>
      </c>
      <c r="C28" s="9" t="s">
        <v>647</v>
      </c>
    </row>
    <row r="29" customFormat="false" ht="15" hidden="false" customHeight="false" outlineLevel="0" collapsed="false">
      <c r="A29" s="8" t="s">
        <v>649</v>
      </c>
      <c r="B29" s="8" t="n">
        <v>0.3</v>
      </c>
      <c r="C29" s="9" t="s">
        <v>647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8"/>
    <col collapsed="false" customWidth="true" hidden="false" outlineLevel="0" max="3" min="3" style="0" width="26"/>
    <col collapsed="false" customWidth="true" hidden="false" outlineLevel="0" max="4" min="4" style="0" width="28"/>
    <col collapsed="false" customWidth="true" hidden="false" outlineLevel="0" max="5" min="5" style="0" width="34"/>
    <col collapsed="false" customWidth="true" hidden="false" outlineLevel="0" max="6" min="6" style="0" width="72"/>
  </cols>
  <sheetData>
    <row r="1" customFormat="false" ht="15" hidden="false" customHeight="false" outlineLevel="0" collapsed="false">
      <c r="A1" s="7" t="s">
        <v>650</v>
      </c>
      <c r="B1" s="7" t="s">
        <v>651</v>
      </c>
      <c r="C1" s="7" t="s">
        <v>588</v>
      </c>
      <c r="D1" s="7" t="s">
        <v>652</v>
      </c>
      <c r="E1" s="7" t="s">
        <v>653</v>
      </c>
      <c r="F1" s="7" t="s">
        <v>654</v>
      </c>
    </row>
    <row r="2" customFormat="false" ht="35.05" hidden="false" customHeight="false" outlineLevel="0" collapsed="false">
      <c r="A2" s="8" t="n">
        <v>1</v>
      </c>
      <c r="B2" s="8" t="s">
        <v>655</v>
      </c>
      <c r="C2" s="9" t="s">
        <v>656</v>
      </c>
      <c r="D2" s="8" t="s">
        <v>657</v>
      </c>
      <c r="E2" s="9"/>
      <c r="F2" s="9" t="s">
        <v>658</v>
      </c>
    </row>
    <row r="3" customFormat="false" ht="35.05" hidden="false" customHeight="false" outlineLevel="0" collapsed="false">
      <c r="A3" s="8" t="n">
        <v>2</v>
      </c>
      <c r="B3" s="8" t="s">
        <v>659</v>
      </c>
      <c r="C3" s="9" t="s">
        <v>660</v>
      </c>
      <c r="D3" s="8" t="s">
        <v>661</v>
      </c>
      <c r="E3" s="9" t="s">
        <v>662</v>
      </c>
      <c r="F3" s="9" t="s">
        <v>663</v>
      </c>
    </row>
    <row r="4" customFormat="false" ht="35.05" hidden="false" customHeight="false" outlineLevel="0" collapsed="false">
      <c r="A4" s="8" t="n">
        <v>3</v>
      </c>
      <c r="B4" s="8" t="s">
        <v>664</v>
      </c>
      <c r="C4" s="9" t="s">
        <v>665</v>
      </c>
      <c r="D4" s="8" t="s">
        <v>661</v>
      </c>
      <c r="E4" s="9" t="s">
        <v>666</v>
      </c>
      <c r="F4" s="9" t="s">
        <v>667</v>
      </c>
    </row>
    <row r="5" customFormat="false" ht="23.85" hidden="false" customHeight="false" outlineLevel="0" collapsed="false">
      <c r="A5" s="8" t="n">
        <v>4</v>
      </c>
      <c r="B5" s="8" t="s">
        <v>668</v>
      </c>
      <c r="C5" s="9" t="s">
        <v>669</v>
      </c>
      <c r="D5" s="8" t="s">
        <v>670</v>
      </c>
      <c r="E5" s="9" t="s">
        <v>671</v>
      </c>
      <c r="F5" s="9" t="s">
        <v>672</v>
      </c>
    </row>
    <row r="6" customFormat="false" ht="35.05" hidden="false" customHeight="false" outlineLevel="0" collapsed="false">
      <c r="A6" s="8" t="n">
        <v>5</v>
      </c>
      <c r="B6" s="8" t="s">
        <v>673</v>
      </c>
      <c r="C6" s="9" t="s">
        <v>674</v>
      </c>
      <c r="D6" s="8" t="s">
        <v>675</v>
      </c>
      <c r="E6" s="9" t="s">
        <v>676</v>
      </c>
      <c r="F6" s="9" t="s">
        <v>677</v>
      </c>
    </row>
    <row r="7" customFormat="false" ht="35.05" hidden="false" customHeight="false" outlineLevel="0" collapsed="false">
      <c r="A7" s="8" t="n">
        <v>6</v>
      </c>
      <c r="B7" s="8" t="s">
        <v>678</v>
      </c>
      <c r="C7" s="9" t="s">
        <v>679</v>
      </c>
      <c r="D7" s="8" t="s">
        <v>680</v>
      </c>
      <c r="E7" s="9" t="s">
        <v>681</v>
      </c>
      <c r="F7" s="9" t="s">
        <v>682</v>
      </c>
    </row>
    <row r="8" customFormat="false" ht="23.85" hidden="false" customHeight="false" outlineLevel="0" collapsed="false">
      <c r="A8" s="8" t="n">
        <v>7</v>
      </c>
      <c r="B8" s="8" t="s">
        <v>683</v>
      </c>
      <c r="C8" s="9" t="s">
        <v>684</v>
      </c>
      <c r="D8" s="8" t="s">
        <v>685</v>
      </c>
      <c r="E8" s="9" t="s">
        <v>686</v>
      </c>
      <c r="F8" s="9" t="s">
        <v>687</v>
      </c>
    </row>
    <row r="9" customFormat="false" ht="23.85" hidden="false" customHeight="false" outlineLevel="0" collapsed="false">
      <c r="A9" s="8" t="n">
        <v>8</v>
      </c>
      <c r="B9" s="8" t="s">
        <v>688</v>
      </c>
      <c r="C9" s="9" t="s">
        <v>689</v>
      </c>
      <c r="D9" s="8" t="s">
        <v>690</v>
      </c>
      <c r="E9" s="9" t="s">
        <v>691</v>
      </c>
      <c r="F9" s="9" t="s">
        <v>692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16"/>
    <col collapsed="false" customWidth="true" hidden="false" outlineLevel="0" max="4" min="4" style="0" width="104"/>
  </cols>
  <sheetData>
    <row r="1" customFormat="false" ht="15" hidden="false" customHeight="false" outlineLevel="0" collapsed="false">
      <c r="A1" s="7" t="s">
        <v>693</v>
      </c>
      <c r="B1" s="7" t="s">
        <v>588</v>
      </c>
      <c r="C1" s="7" t="s">
        <v>694</v>
      </c>
      <c r="D1" s="7" t="s">
        <v>695</v>
      </c>
    </row>
    <row r="2" customFormat="false" ht="46.25" hidden="false" customHeight="false" outlineLevel="0" collapsed="false">
      <c r="A2" s="8" t="s">
        <v>696</v>
      </c>
      <c r="B2" s="9" t="s">
        <v>697</v>
      </c>
      <c r="C2" s="8" t="s">
        <v>85</v>
      </c>
      <c r="D2" s="9" t="s">
        <v>698</v>
      </c>
    </row>
    <row r="3" customFormat="false" ht="35.05" hidden="false" customHeight="false" outlineLevel="0" collapsed="false">
      <c r="A3" s="8" t="s">
        <v>699</v>
      </c>
      <c r="B3" s="9" t="s">
        <v>700</v>
      </c>
      <c r="C3" s="8" t="s">
        <v>202</v>
      </c>
      <c r="D3" s="9" t="s">
        <v>701</v>
      </c>
    </row>
    <row r="4" customFormat="false" ht="35.05" hidden="false" customHeight="false" outlineLevel="0" collapsed="false">
      <c r="A4" s="8" t="s">
        <v>702</v>
      </c>
      <c r="B4" s="9" t="s">
        <v>703</v>
      </c>
      <c r="C4" s="8" t="s">
        <v>704</v>
      </c>
      <c r="D4" s="9" t="s">
        <v>705</v>
      </c>
    </row>
    <row r="5" customFormat="false" ht="57.45" hidden="false" customHeight="false" outlineLevel="0" collapsed="false">
      <c r="A5" s="8" t="s">
        <v>706</v>
      </c>
      <c r="B5" s="9" t="s">
        <v>707</v>
      </c>
      <c r="C5" s="8" t="s">
        <v>708</v>
      </c>
      <c r="D5" s="9" t="s">
        <v>709</v>
      </c>
    </row>
    <row r="6" customFormat="false" ht="35.05" hidden="false" customHeight="false" outlineLevel="0" collapsed="false">
      <c r="A6" s="8" t="s">
        <v>12</v>
      </c>
      <c r="B6" s="9" t="s">
        <v>710</v>
      </c>
      <c r="C6" s="8" t="s">
        <v>711</v>
      </c>
      <c r="D6" s="9" t="s">
        <v>712</v>
      </c>
    </row>
    <row r="7" customFormat="false" ht="35.05" hidden="false" customHeight="false" outlineLevel="0" collapsed="false">
      <c r="A7" s="8" t="s">
        <v>713</v>
      </c>
      <c r="B7" s="9" t="s">
        <v>714</v>
      </c>
      <c r="C7" s="8" t="s">
        <v>715</v>
      </c>
      <c r="D7" s="9" t="s">
        <v>716</v>
      </c>
    </row>
    <row r="8" customFormat="false" ht="35.05" hidden="false" customHeight="false" outlineLevel="0" collapsed="false">
      <c r="A8" s="8" t="s">
        <v>717</v>
      </c>
      <c r="B8" s="9" t="s">
        <v>718</v>
      </c>
      <c r="C8" s="8" t="s">
        <v>719</v>
      </c>
      <c r="D8" s="9" t="s">
        <v>720</v>
      </c>
    </row>
    <row r="9" customFormat="false" ht="35.05" hidden="false" customHeight="false" outlineLevel="0" collapsed="false">
      <c r="A9" s="8" t="s">
        <v>721</v>
      </c>
      <c r="B9" s="9" t="s">
        <v>722</v>
      </c>
      <c r="C9" s="8" t="s">
        <v>723</v>
      </c>
      <c r="D9" s="9" t="s">
        <v>724</v>
      </c>
    </row>
    <row r="10" customFormat="false" ht="23.85" hidden="false" customHeight="false" outlineLevel="0" collapsed="false">
      <c r="A10" s="8" t="s">
        <v>725</v>
      </c>
      <c r="B10" s="9" t="s">
        <v>726</v>
      </c>
      <c r="C10" s="8" t="s">
        <v>727</v>
      </c>
      <c r="D10" s="9" t="s">
        <v>728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16"/>
  </cols>
  <sheetData>
    <row r="1" customFormat="false" ht="15" hidden="false" customHeight="false" outlineLevel="0" collapsed="false">
      <c r="A1" s="7" t="s">
        <v>729</v>
      </c>
      <c r="B1" s="7" t="s">
        <v>730</v>
      </c>
    </row>
    <row r="2" customFormat="false" ht="35.05" hidden="false" customHeight="false" outlineLevel="0" collapsed="false">
      <c r="A2" s="8" t="s">
        <v>731</v>
      </c>
      <c r="B2" s="9" t="s">
        <v>732</v>
      </c>
    </row>
    <row r="3" customFormat="false" ht="23.85" hidden="false" customHeight="false" outlineLevel="0" collapsed="false">
      <c r="A3" s="8" t="s">
        <v>733</v>
      </c>
      <c r="B3" s="9" t="s">
        <v>734</v>
      </c>
    </row>
    <row r="4" customFormat="false" ht="46.25" hidden="false" customHeight="false" outlineLevel="0" collapsed="false">
      <c r="A4" s="8" t="s">
        <v>735</v>
      </c>
      <c r="B4" s="9" t="s">
        <v>736</v>
      </c>
    </row>
    <row r="5" customFormat="false" ht="35.05" hidden="false" customHeight="false" outlineLevel="0" collapsed="false">
      <c r="A5" s="8" t="s">
        <v>735</v>
      </c>
      <c r="B5" s="9" t="s">
        <v>737</v>
      </c>
    </row>
    <row r="6" customFormat="false" ht="35.05" hidden="false" customHeight="false" outlineLevel="0" collapsed="false">
      <c r="A6" s="8" t="s">
        <v>735</v>
      </c>
      <c r="B6" s="9" t="s">
        <v>738</v>
      </c>
    </row>
    <row r="7" customFormat="false" ht="35.05" hidden="false" customHeight="false" outlineLevel="0" collapsed="false">
      <c r="A7" s="8" t="s">
        <v>735</v>
      </c>
      <c r="B7" s="9" t="s">
        <v>739</v>
      </c>
    </row>
    <row r="8" customFormat="false" ht="46.25" hidden="false" customHeight="false" outlineLevel="0" collapsed="false">
      <c r="A8" s="8" t="s">
        <v>735</v>
      </c>
      <c r="B8" s="9" t="s">
        <v>740</v>
      </c>
    </row>
    <row r="9" customFormat="false" ht="35.05" hidden="false" customHeight="false" outlineLevel="0" collapsed="false">
      <c r="A9" s="8" t="s">
        <v>735</v>
      </c>
      <c r="B9" s="9" t="s">
        <v>741</v>
      </c>
    </row>
    <row r="10" customFormat="false" ht="15" hidden="false" customHeight="false" outlineLevel="0" collapsed="false">
      <c r="A10" s="8" t="s">
        <v>742</v>
      </c>
      <c r="B10" s="9" t="s">
        <v>743</v>
      </c>
    </row>
    <row r="11" customFormat="false" ht="23.85" hidden="false" customHeight="false" outlineLevel="0" collapsed="false">
      <c r="A11" s="8" t="s">
        <v>742</v>
      </c>
      <c r="B11" s="9" t="s">
        <v>744</v>
      </c>
    </row>
    <row r="12" customFormat="false" ht="23.85" hidden="false" customHeight="false" outlineLevel="0" collapsed="false">
      <c r="A12" s="8" t="s">
        <v>742</v>
      </c>
      <c r="B12" s="9" t="s">
        <v>745</v>
      </c>
    </row>
    <row r="13" customFormat="false" ht="23.85" hidden="false" customHeight="false" outlineLevel="0" collapsed="false">
      <c r="A13" s="8" t="s">
        <v>742</v>
      </c>
      <c r="B13" s="9" t="s">
        <v>746</v>
      </c>
    </row>
    <row r="14" customFormat="false" ht="23.85" hidden="false" customHeight="false" outlineLevel="0" collapsed="false">
      <c r="A14" s="8" t="s">
        <v>742</v>
      </c>
      <c r="B14" s="9" t="s">
        <v>747</v>
      </c>
    </row>
    <row r="15" customFormat="false" ht="68.65" hidden="false" customHeight="false" outlineLevel="0" collapsed="false">
      <c r="A15" s="8" t="s">
        <v>748</v>
      </c>
      <c r="B15" s="9" t="s">
        <v>749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46"/>
    <col collapsed="false" customWidth="true" hidden="false" outlineLevel="0" max="4" min="4" style="0" width="34"/>
    <col collapsed="false" customWidth="true" hidden="false" outlineLevel="0" max="5" min="5" style="0" width="13"/>
    <col collapsed="false" customWidth="true" hidden="false" outlineLevel="0" max="6" min="6" style="0" width="54"/>
  </cols>
  <sheetData>
    <row r="1" customFormat="false" ht="15" hidden="false" customHeight="false" outlineLevel="0" collapsed="false">
      <c r="A1" s="7" t="s">
        <v>750</v>
      </c>
      <c r="B1" s="7" t="s">
        <v>751</v>
      </c>
      <c r="C1" s="7" t="s">
        <v>730</v>
      </c>
      <c r="D1" s="7" t="s">
        <v>752</v>
      </c>
      <c r="E1" s="7" t="s">
        <v>753</v>
      </c>
      <c r="F1" s="7" t="s">
        <v>754</v>
      </c>
    </row>
    <row r="2" customFormat="false" ht="35.05" hidden="false" customHeight="false" outlineLevel="0" collapsed="false">
      <c r="A2" s="8" t="s">
        <v>755</v>
      </c>
      <c r="B2" s="9" t="s">
        <v>756</v>
      </c>
      <c r="C2" s="9" t="s">
        <v>757</v>
      </c>
      <c r="D2" s="9" t="s">
        <v>758</v>
      </c>
      <c r="E2" s="8" t="n">
        <v>1</v>
      </c>
      <c r="F2" s="9" t="s">
        <v>759</v>
      </c>
    </row>
    <row r="3" customFormat="false" ht="35.05" hidden="false" customHeight="false" outlineLevel="0" collapsed="false">
      <c r="A3" s="8" t="s">
        <v>760</v>
      </c>
      <c r="B3" s="9" t="s">
        <v>761</v>
      </c>
      <c r="C3" s="9" t="s">
        <v>762</v>
      </c>
      <c r="D3" s="9" t="s">
        <v>763</v>
      </c>
      <c r="E3" s="8" t="n">
        <v>6</v>
      </c>
      <c r="F3" s="9" t="s">
        <v>764</v>
      </c>
    </row>
    <row r="4" customFormat="false" ht="35.05" hidden="false" customHeight="false" outlineLevel="0" collapsed="false">
      <c r="A4" s="8" t="s">
        <v>765</v>
      </c>
      <c r="B4" s="9" t="s">
        <v>766</v>
      </c>
      <c r="C4" s="9" t="s">
        <v>767</v>
      </c>
      <c r="D4" s="9" t="s">
        <v>768</v>
      </c>
      <c r="E4" s="8" t="n">
        <v>7</v>
      </c>
      <c r="F4" s="9" t="s">
        <v>769</v>
      </c>
    </row>
    <row r="5" customFormat="false" ht="35.05" hidden="false" customHeight="false" outlineLevel="0" collapsed="false">
      <c r="A5" s="8" t="s">
        <v>770</v>
      </c>
      <c r="B5" s="9" t="s">
        <v>771</v>
      </c>
      <c r="C5" s="9" t="s">
        <v>772</v>
      </c>
      <c r="D5" s="9" t="s">
        <v>773</v>
      </c>
      <c r="E5" s="8" t="n">
        <v>7</v>
      </c>
      <c r="F5" s="9" t="s">
        <v>774</v>
      </c>
    </row>
    <row r="6" customFormat="false" ht="35.05" hidden="false" customHeight="false" outlineLevel="0" collapsed="false">
      <c r="A6" s="8" t="s">
        <v>775</v>
      </c>
      <c r="B6" s="9" t="s">
        <v>776</v>
      </c>
      <c r="C6" s="9" t="s">
        <v>777</v>
      </c>
      <c r="D6" s="9" t="s">
        <v>778</v>
      </c>
      <c r="E6" s="8" t="n">
        <v>7</v>
      </c>
      <c r="F6" s="9" t="s">
        <v>779</v>
      </c>
    </row>
    <row r="7" customFormat="false" ht="23.85" hidden="false" customHeight="false" outlineLevel="0" collapsed="false">
      <c r="A7" s="8" t="s">
        <v>780</v>
      </c>
      <c r="B7" s="9" t="s">
        <v>781</v>
      </c>
      <c r="C7" s="9" t="s">
        <v>782</v>
      </c>
      <c r="D7" s="9" t="s">
        <v>783</v>
      </c>
      <c r="E7" s="8" t="n">
        <v>7</v>
      </c>
      <c r="F7" s="9" t="s">
        <v>784</v>
      </c>
    </row>
    <row r="8" customFormat="false" ht="35.05" hidden="false" customHeight="false" outlineLevel="0" collapsed="false">
      <c r="A8" s="8" t="s">
        <v>785</v>
      </c>
      <c r="B8" s="9" t="s">
        <v>786</v>
      </c>
      <c r="C8" s="9" t="s">
        <v>787</v>
      </c>
      <c r="D8" s="9" t="s">
        <v>788</v>
      </c>
      <c r="E8" s="8" t="n">
        <v>8</v>
      </c>
      <c r="F8" s="9" t="s">
        <v>789</v>
      </c>
    </row>
    <row r="9" customFormat="false" ht="23.85" hidden="false" customHeight="false" outlineLevel="0" collapsed="false">
      <c r="A9" s="8" t="s">
        <v>790</v>
      </c>
      <c r="B9" s="9" t="s">
        <v>791</v>
      </c>
      <c r="C9" s="9" t="s">
        <v>792</v>
      </c>
      <c r="D9" s="9" t="s">
        <v>793</v>
      </c>
      <c r="E9" s="8" t="n">
        <v>7</v>
      </c>
      <c r="F9" s="9" t="s">
        <v>794</v>
      </c>
    </row>
    <row r="10" customFormat="false" ht="35.05" hidden="false" customHeight="false" outlineLevel="0" collapsed="false">
      <c r="A10" s="8" t="s">
        <v>795</v>
      </c>
      <c r="B10" s="9" t="s">
        <v>796</v>
      </c>
      <c r="C10" s="9" t="s">
        <v>797</v>
      </c>
      <c r="D10" s="9" t="s">
        <v>798</v>
      </c>
      <c r="E10" s="8" t="n">
        <v>8</v>
      </c>
      <c r="F10" s="9" t="s">
        <v>799</v>
      </c>
    </row>
    <row r="11" customFormat="false" ht="35.05" hidden="false" customHeight="false" outlineLevel="0" collapsed="false">
      <c r="A11" s="8" t="s">
        <v>800</v>
      </c>
      <c r="B11" s="9" t="s">
        <v>801</v>
      </c>
      <c r="C11" s="9" t="s">
        <v>802</v>
      </c>
      <c r="D11" s="9" t="s">
        <v>803</v>
      </c>
      <c r="E11" s="8" t="n">
        <v>8</v>
      </c>
      <c r="F11" s="9" t="s">
        <v>804</v>
      </c>
    </row>
    <row r="12" customFormat="false" ht="23.85" hidden="false" customHeight="false" outlineLevel="0" collapsed="false">
      <c r="A12" s="8" t="s">
        <v>805</v>
      </c>
      <c r="B12" s="9" t="s">
        <v>806</v>
      </c>
      <c r="C12" s="9" t="s">
        <v>807</v>
      </c>
      <c r="D12" s="9" t="s">
        <v>808</v>
      </c>
      <c r="E12" s="8" t="n">
        <v>8</v>
      </c>
      <c r="F12" s="9" t="s">
        <v>809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2026-08-18T21:20:49Z</dcterms:created>
  <dc:creator>openpyxl</dc:creator>
  <dc:description/>
  <dc:language>en-US</dc:language>
  <cp:lastModifiedBy/>
  <dcterms:modified xsi:type="dcterms:W3CDTF">2026-08-18T21:20:49Z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