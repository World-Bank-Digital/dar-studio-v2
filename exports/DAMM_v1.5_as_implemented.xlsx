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Indicators" sheetId="2" state="visible" r:id="rId4"/>
    <sheet name="Qualitative anchors" sheetId="3" state="visible" r:id="rId5"/>
    <sheet name="Pillars" sheetId="4" state="visible" r:id="rId6"/>
    <sheet name="Core gates" sheetId="5" state="visible" r:id="rId7"/>
    <sheet name="Scoring rules" sheetId="6" state="visible" r:id="rId8"/>
    <sheet name="Process ladder" sheetId="7" state="visible" r:id="rId9"/>
    <sheet name="Glossary" sheetId="8" state="visible" r:id="rId10"/>
  </sheets>
  <definedNames>
    <definedName function="false" hidden="true" localSheetId="1" name="_xlnm._FilterDatabase" vbProcedure="false">Indicators!$A$1:$O$103</definedName>
    <definedName function="false" hidden="true" localSheetId="2" name="_xlnm._FilterDatabase" vbProcedure="false">'Qualitative anchors'!$A$1:$H$103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<sst xmlns="http://schemas.openxmlformats.org/spreadsheetml/2006/main" count="2051" uniqueCount="719">
  <si>
    <t xml:space="preserve">DAMM v1.5 — the model this application runs</t>
  </si>
  <si>
    <t xml:space="preserve">Model</t>
  </si>
  <si>
    <t xml:space="preserve">DAMM v1.5</t>
  </si>
  <si>
    <t xml:space="preserve">Status</t>
  </si>
  <si>
    <t xml:space="preserve">Live scoring workbook; diagnostic package workflow</t>
  </si>
  <si>
    <t xml:space="preserve">Assessment year</t>
  </si>
  <si>
    <t xml:space="preserve">Extracted from</t>
  </si>
  <si>
    <t xml:space="preserve">DAMM v1.5 Scoring Workbook — Egypt worked example.xlsx</t>
  </si>
  <si>
    <t xml:space="preserve">Indicators</t>
  </si>
  <si>
    <t xml:space="preserve">Pillars</t>
  </si>
  <si>
    <t xml:space="preserve">Core gates</t>
  </si>
  <si>
    <t xml:space="preserve">Process steps</t>
  </si>
  <si>
    <t xml:space="preserve">Prohibitions wired into the model</t>
  </si>
  <si>
    <t xml:space="preserve">No cross-country ranking</t>
  </si>
  <si>
    <t xml:space="preserve">No DAMM stage used as PDO indicator, DLI, or disbursement condition</t>
  </si>
  <si>
    <t xml:space="preserve">No automatic financing, procurement, vendor, or technology decisions from the diagnostic</t>
  </si>
  <si>
    <t xml:space="preserve">No stage claimed publicly before human review by the TTL and steering committee</t>
  </si>
  <si>
    <t xml:space="preserve">Sheets</t>
  </si>
  <si>
    <t xml:space="preserve">All indicators: pillar, role, method, direction, core-gate flag, staleness limit, and the value thresholds for levels 2-5.</t>
  </si>
  <si>
    <t xml:space="preserve">Qualitative anchors</t>
  </si>
  <si>
    <t xml:space="preserve">The written L1-L5 anchor text. Qualitative indicators are scored against these words, not against a number.</t>
  </si>
  <si>
    <t xml:space="preserve">Pillars with role and weight. C0 is a context profile and is never aggregated into a score.</t>
  </si>
  <si>
    <t xml:space="preserve">Prerequisite indicators. One at Level 1 caps the stage at 1; one unmeasured suppresses the stage entirely.</t>
  </si>
  <si>
    <t xml:space="preserve">Scoring rules</t>
  </si>
  <si>
    <t xml:space="preserve">Bands, coverage gates, stage floors, the leapfrog-fragility threshold and confidence weights.</t>
  </si>
  <si>
    <t xml:space="preserve">Process ladder</t>
  </si>
  <si>
    <t xml:space="preserve">The four steps: populate, score evidence quality, compile the diagnostic package, draft the roadmap.</t>
  </si>
  <si>
    <t xml:space="preserve">Glossary</t>
  </si>
  <si>
    <t xml:space="preserve">CMS, EMS, OES and the rest, defined as the model defines them.</t>
  </si>
  <si>
    <t xml:space="preserve">Reading the thresholds</t>
  </si>
  <si>
    <t xml:space="preserve">Where Direction is Higher, a value at or above the L5 threshold scores 5, at or above L4 scores 4, and so on; below the L2 threshold scores 1.</t>
  </si>
  <si>
    <t xml:space="preserve">Where Direction is Lower, the comparison reverses: at or below the L5 threshold scores 5.</t>
  </si>
  <si>
    <t xml:space="preserve">Where Direction is N/A there are no thresholds. The indicator is either a qualitative capability assessed against the anchor text, or a context profile that is never scored.</t>
  </si>
  <si>
    <t xml:space="preserve">Source: model_v1_5.json in the application repository, extracted from DAMM v1.5 Scoring Workbook — Egypt worked example.xlsx.</t>
  </si>
  <si>
    <t xml:space="preserve">ID</t>
  </si>
  <si>
    <t xml:space="preserve">Indicator</t>
  </si>
  <si>
    <t xml:space="preserve">Pillar</t>
  </si>
  <si>
    <t xml:space="preserve">Pillar name</t>
  </si>
  <si>
    <t xml:space="preserve">Role</t>
  </si>
  <si>
    <t xml:space="preserve">Source</t>
  </si>
  <si>
    <t xml:space="preserve">Method</t>
  </si>
  <si>
    <t xml:space="preserve">Direction</t>
  </si>
  <si>
    <t xml:space="preserve">Core gate</t>
  </si>
  <si>
    <t xml:space="preserve">Max age (yrs)</t>
  </si>
  <si>
    <t xml:space="preserve">L2</t>
  </si>
  <si>
    <t xml:space="preserve">L3</t>
  </si>
  <si>
    <t xml:space="preserve">L4</t>
  </si>
  <si>
    <t xml:space="preserve">L5</t>
  </si>
  <si>
    <t xml:space="preserve">1.1</t>
  </si>
  <si>
    <t xml:space="preserve">Agriculture value added per worker (constant 2015 USD)</t>
  </si>
  <si>
    <t xml:space="preserve">C0</t>
  </si>
  <si>
    <t xml:space="preserve">C0: Agricultural context &amp; need</t>
  </si>
  <si>
    <t xml:space="preserve">Context</t>
  </si>
  <si>
    <t xml:space="preserve">Global</t>
  </si>
  <si>
    <t xml:space="preserve">Context profile (not aggregated)</t>
  </si>
  <si>
    <t xml:space="preserve">N/A</t>
  </si>
  <si>
    <t xml:space="preserve">Context only</t>
  </si>
  <si>
    <t xml:space="preserve">1.2</t>
  </si>
  <si>
    <t xml:space="preserve">Cereal yield (kg per hectare)</t>
  </si>
  <si>
    <t xml:space="preserve">1.3</t>
  </si>
  <si>
    <t xml:space="preserve">Employment in agriculture (% of total employment)</t>
  </si>
  <si>
    <t xml:space="preserve">1.4</t>
  </si>
  <si>
    <t xml:space="preserve">Food production index (2014-2016 = 100)</t>
  </si>
  <si>
    <t xml:space="preserve">1.5</t>
  </si>
  <si>
    <t xml:space="preserve">Post-harvest loss rate (%)</t>
  </si>
  <si>
    <t xml:space="preserve">Local</t>
  </si>
  <si>
    <t xml:space="preserve">1.6</t>
  </si>
  <si>
    <t xml:space="preserve">Smallholder access to formal markets (%)</t>
  </si>
  <si>
    <t xml:space="preserve">1.7</t>
  </si>
  <si>
    <t xml:space="preserve">Agricultural credit access (% of farmers)</t>
  </si>
  <si>
    <t xml:space="preserve">1.8</t>
  </si>
  <si>
    <t xml:space="preserve">Farmers using climate-smart/sustainable practices (%)</t>
  </si>
  <si>
    <t xml:space="preserve">1.9</t>
  </si>
  <si>
    <t xml:space="preserve">National innovation/extension programs with digital component</t>
  </si>
  <si>
    <t xml:space="preserve">C4</t>
  </si>
  <si>
    <t xml:space="preserve">C4: Human &amp; institutional capacity</t>
  </si>
  <si>
    <t xml:space="preserve">Capability</t>
  </si>
  <si>
    <t xml:space="preserve">Qualitative (capability)</t>
  </si>
  <si>
    <t xml:space="preserve">Qualitative</t>
  </si>
  <si>
    <t xml:space="preserve">2.1</t>
  </si>
  <si>
    <t xml:space="preserve">Rural population covered by at least 3G (%)</t>
  </si>
  <si>
    <t xml:space="preserve">C1</t>
  </si>
  <si>
    <t xml:space="preserve">C1: Connectivity &amp; affordable access</t>
  </si>
  <si>
    <t xml:space="preserve">Quantitative threshold</t>
  </si>
  <si>
    <t xml:space="preserve">Higher</t>
  </si>
  <si>
    <t xml:space="preserve">YES</t>
  </si>
  <si>
    <t xml:space="preserve">Numeric threshold</t>
  </si>
  <si>
    <t xml:space="preserve">2.2</t>
  </si>
  <si>
    <t xml:space="preserve">Rural population covered by at least 4G (%)</t>
  </si>
  <si>
    <t xml:space="preserve">2.3</t>
  </si>
  <si>
    <t xml:space="preserve">Active mobile broadband subscriptions per 100 inhabitants</t>
  </si>
  <si>
    <t xml:space="preserve">2.4</t>
  </si>
  <si>
    <t xml:space="preserve">Individuals using the Internet (% of population)</t>
  </si>
  <si>
    <t xml:space="preserve">2.5</t>
  </si>
  <si>
    <t xml:space="preserve">Mobile broadband basket price (% GNI per capita)</t>
  </si>
  <si>
    <t xml:space="preserve">Lower</t>
  </si>
  <si>
    <t xml:space="preserve">2.6</t>
  </si>
  <si>
    <t xml:space="preserve">Adults with mobile phone (% age 15+)</t>
  </si>
  <si>
    <t xml:space="preserve">2.7</t>
  </si>
  <si>
    <t xml:space="preserve">Smartphone ownership among rural/agricultural population (%)</t>
  </si>
  <si>
    <t xml:space="preserve">2.8</t>
  </si>
  <si>
    <t xml:space="preserve">Average mobile data cost in rural areas (USD per GB)</t>
  </si>
  <si>
    <t xml:space="preserve">2.9</t>
  </si>
  <si>
    <t xml:space="preserve">Electricity access in rural areas (%)</t>
  </si>
  <si>
    <t xml:space="preserve">2.10</t>
  </si>
  <si>
    <t xml:space="preserve">Average download speed in agricultural areas (Mbps)</t>
  </si>
  <si>
    <t xml:space="preserve">2.11</t>
  </si>
  <si>
    <t xml:space="preserve">Device financing/subsidy schemes for farmers</t>
  </si>
  <si>
    <t xml:space="preserve">3.1</t>
  </si>
  <si>
    <t xml:space="preserve">UN E-Government Development Index (EGDI)</t>
  </si>
  <si>
    <t xml:space="preserve">C2</t>
  </si>
  <si>
    <t xml:space="preserve">C2: Data infrastructure &amp; DPI</t>
  </si>
  <si>
    <t xml:space="preserve">3.2</t>
  </si>
  <si>
    <t xml:space="preserve">Open Data Inventory (ODIN) score</t>
  </si>
  <si>
    <t xml:space="preserve">3.3</t>
  </si>
  <si>
    <t xml:space="preserve">National farmer registry/database</t>
  </si>
  <si>
    <t xml:space="preserve">3.4</t>
  </si>
  <si>
    <t xml:space="preserve">Digital land/plot registration system</t>
  </si>
  <si>
    <t xml:space="preserve">3.5</t>
  </si>
  <si>
    <t xml:space="preserve">National agricultural data portal / open data</t>
  </si>
  <si>
    <t xml:space="preserve">3.6</t>
  </si>
  <si>
    <t xml:space="preserve">Weather/climate data infrastructure for agriculture</t>
  </si>
  <si>
    <t xml:space="preserve">3.7</t>
  </si>
  <si>
    <t xml:space="preserve">Satellite/earth observation data integration capability</t>
  </si>
  <si>
    <t xml:space="preserve">3.8</t>
  </si>
  <si>
    <t xml:space="preserve">National soil map/database (digital)</t>
  </si>
  <si>
    <t xml:space="preserve">3.9</t>
  </si>
  <si>
    <t xml:space="preserve">Digital advisory platforms reaching &gt;10,000 users</t>
  </si>
  <si>
    <t xml:space="preserve">3.10</t>
  </si>
  <si>
    <t xml:space="preserve">Digital agricultural market/e-commerce platforms (&gt;5,000 active users)</t>
  </si>
  <si>
    <t xml:space="preserve">3.11</t>
  </si>
  <si>
    <t xml:space="preserve">Interoperability standards for agricultural data</t>
  </si>
  <si>
    <t xml:space="preserve">3.12</t>
  </si>
  <si>
    <t xml:space="preserve">AI-ready agricultural datasets</t>
  </si>
  <si>
    <t xml:space="preserve">3.13</t>
  </si>
  <si>
    <t xml:space="preserve">Machine-readable open agricultural data (share of national ag statistics as open APIs)</t>
  </si>
  <si>
    <t xml:space="preserve">4.1</t>
  </si>
  <si>
    <t xml:space="preserve">Data protection/privacy law</t>
  </si>
  <si>
    <t xml:space="preserve">C3</t>
  </si>
  <si>
    <t xml:space="preserve">C3: Policy, governance &amp; safeguards</t>
  </si>
  <si>
    <t xml:space="preserve">4.2</t>
  </si>
  <si>
    <t xml:space="preserve">Cybersecurity legal framework (ITU GCI)</t>
  </si>
  <si>
    <t xml:space="preserve">4.3</t>
  </si>
  <si>
    <t xml:space="preserve">Government AI Readiness Index</t>
  </si>
  <si>
    <t xml:space="preserve">4.4</t>
  </si>
  <si>
    <t xml:space="preserve">National digital agriculture strategy</t>
  </si>
  <si>
    <t xml:space="preserve">4.5</t>
  </si>
  <si>
    <t xml:space="preserve">Agricultural data governance framework</t>
  </si>
  <si>
    <t xml:space="preserve">4.6</t>
  </si>
  <si>
    <t xml:space="preserve">National AI strategy with agriculture component</t>
  </si>
  <si>
    <t xml:space="preserve">4.7</t>
  </si>
  <si>
    <t xml:space="preserve">Digital ID system coverage (% of population)</t>
  </si>
  <si>
    <t xml:space="preserve">4.8</t>
  </si>
  <si>
    <t xml:space="preserve">Data sovereignty provisions for agricultural data</t>
  </si>
  <si>
    <t xml:space="preserve">4.9</t>
  </si>
  <si>
    <t xml:space="preserve">Inter-ministerial coordination mechanism for digital agriculture</t>
  </si>
  <si>
    <t xml:space="preserve">4.10</t>
  </si>
  <si>
    <t xml:space="preserve">Competition/antitrust framework for digital agricultural markets</t>
  </si>
  <si>
    <t xml:space="preserve">4.11</t>
  </si>
  <si>
    <t xml:space="preserve">Public procurement rules enabling digital agriculture innovation</t>
  </si>
  <si>
    <t xml:space="preserve">4.12</t>
  </si>
  <si>
    <t xml:space="preserve">Spectrum allocation for rural/agricultural IoT</t>
  </si>
  <si>
    <t xml:space="preserve">4.13</t>
  </si>
  <si>
    <t xml:space="preserve">Responsible AI principles/guidelines for agriculture</t>
  </si>
  <si>
    <t xml:space="preserve">5.1</t>
  </si>
  <si>
    <t xml:space="preserve">Mean years of schooling (adults 25+)</t>
  </si>
  <si>
    <t xml:space="preserve">5.2</t>
  </si>
  <si>
    <t xml:space="preserve">Adult literacy rate (% age 15+)</t>
  </si>
  <si>
    <t xml:space="preserve">5.3</t>
  </si>
  <si>
    <t xml:space="preserve">Tertiary enrollment in STEM fields (% gross)</t>
  </si>
  <si>
    <t xml:space="preserve">5.4</t>
  </si>
  <si>
    <t xml:space="preserve">Digital literacy among farmers (%)</t>
  </si>
  <si>
    <t xml:space="preserve">5.5</t>
  </si>
  <si>
    <t xml:space="preserve">Extension workers trained in digital tools (%)</t>
  </si>
  <si>
    <t xml:space="preserve">5.6</t>
  </si>
  <si>
    <t xml:space="preserve">Farmer-to-digital-extension-worker ratio</t>
  </si>
  <si>
    <t xml:space="preserve">5.7</t>
  </si>
  <si>
    <t xml:space="preserve">Dedicated digital/AI units in Ministry of Agriculture</t>
  </si>
  <si>
    <t xml:space="preserve">5.8</t>
  </si>
  <si>
    <t xml:space="preserve">University programs in agtech/digital agriculture</t>
  </si>
  <si>
    <t xml:space="preserve">5.9</t>
  </si>
  <si>
    <t xml:space="preserve">Data science/AI training programs for agriculture</t>
  </si>
  <si>
    <t xml:space="preserve">5.10</t>
  </si>
  <si>
    <t xml:space="preserve">Digital skills training reach (% of farmer population per year)</t>
  </si>
  <si>
    <t xml:space="preserve">5.11</t>
  </si>
  <si>
    <t xml:space="preserve">Institutional digital maturity of key agricultural agencies</t>
  </si>
  <si>
    <t xml:space="preserve">5.12</t>
  </si>
  <si>
    <t xml:space="preserve">Gender balance in digital agriculture workforce</t>
  </si>
  <si>
    <t xml:space="preserve">5.13</t>
  </si>
  <si>
    <t xml:space="preserve">Gender parity in extension services (% female extension officers)</t>
  </si>
  <si>
    <t xml:space="preserve">6.1</t>
  </si>
  <si>
    <t xml:space="preserve">Global Innovation Index (GII) score</t>
  </si>
  <si>
    <t xml:space="preserve">E1</t>
  </si>
  <si>
    <t xml:space="preserve">E1: Innovation &amp; private sector</t>
  </si>
  <si>
    <t xml:space="preserve">Ecosystem</t>
  </si>
  <si>
    <t xml:space="preserve">6.2</t>
  </si>
  <si>
    <t xml:space="preserve">R&amp;D expenditure (% of GDP)</t>
  </si>
  <si>
    <t xml:space="preserve">6.3</t>
  </si>
  <si>
    <t xml:space="preserve">Business Ready (B-READY) score</t>
  </si>
  <si>
    <t xml:space="preserve">6.4</t>
  </si>
  <si>
    <t xml:space="preserve">Active agtech startups/firms</t>
  </si>
  <si>
    <t xml:space="preserve">6.5</t>
  </si>
  <si>
    <t xml:space="preserve">Venture capital/investment in agtech (annual USD)</t>
  </si>
  <si>
    <t xml:space="preserve">6.6</t>
  </si>
  <si>
    <t xml:space="preserve">Agtech accelerators/incubators</t>
  </si>
  <si>
    <t xml:space="preserve">6.7</t>
  </si>
  <si>
    <t xml:space="preserve">Agribusiness firms using AI/ML in operations (%)</t>
  </si>
  <si>
    <t xml:space="preserve">6.8</t>
  </si>
  <si>
    <t xml:space="preserve">Regulatory sandboxes for agtech/fintech</t>
  </si>
  <si>
    <t xml:space="preserve">6.9</t>
  </si>
  <si>
    <t xml:space="preserve">Public-private partnerships in digital agriculture</t>
  </si>
  <si>
    <t xml:space="preserve">6.10</t>
  </si>
  <si>
    <t xml:space="preserve">Government grants/funding for agtech innovation (annual USD)</t>
  </si>
  <si>
    <t xml:space="preserve">6.11</t>
  </si>
  <si>
    <t xml:space="preserve">Digital financial services platforms for agriculture</t>
  </si>
  <si>
    <t xml:space="preserve">6.12</t>
  </si>
  <si>
    <t xml:space="preserve">Digital public goods adopted in agriculture</t>
  </si>
  <si>
    <t xml:space="preserve">6.13</t>
  </si>
  <si>
    <t xml:space="preserve">SME access to digital agriculture tools/platforms (%)</t>
  </si>
  <si>
    <t xml:space="preserve">6.14</t>
  </si>
  <si>
    <t xml:space="preserve">Agri-fintech / mobile-money rails accessible to smallholders</t>
  </si>
  <si>
    <t xml:space="preserve">7.1</t>
  </si>
  <si>
    <t xml:space="preserve">AI-related scientific publications per million population</t>
  </si>
  <si>
    <t xml:space="preserve">E2</t>
  </si>
  <si>
    <t xml:space="preserve">E2: Responsible AI &amp; emerging tech</t>
  </si>
  <si>
    <t xml:space="preserve">7.2</t>
  </si>
  <si>
    <t xml:space="preserve">AI systems deployed in public agricultural sector</t>
  </si>
  <si>
    <t xml:space="preserve">7.3</t>
  </si>
  <si>
    <t xml:space="preserve">AI-enabled advisory services (farmer reach %)</t>
  </si>
  <si>
    <t xml:space="preserve">7.4</t>
  </si>
  <si>
    <t xml:space="preserve">AI for crop/pest/disease detection and monitoring</t>
  </si>
  <si>
    <t xml:space="preserve">7.5</t>
  </si>
  <si>
    <t xml:space="preserve">AI in agricultural finance (credit scoring, insurance)</t>
  </si>
  <si>
    <t xml:space="preserve">7.6</t>
  </si>
  <si>
    <t xml:space="preserve">AI for supply chain optimization and traceability</t>
  </si>
  <si>
    <t xml:space="preserve">7.7</t>
  </si>
  <si>
    <t xml:space="preserve">AI for climate forecasting and agricultural risk management</t>
  </si>
  <si>
    <t xml:space="preserve">7.8</t>
  </si>
  <si>
    <t xml:space="preserve">AI talent in agriculture sector</t>
  </si>
  <si>
    <t xml:space="preserve">7.9</t>
  </si>
  <si>
    <t xml:space="preserve">Cybersecurity of agricultural digital systems</t>
  </si>
  <si>
    <t xml:space="preserve">7.10</t>
  </si>
  <si>
    <t xml:space="preserve">Explainability and transparency of AI systems in agriculture</t>
  </si>
  <si>
    <t xml:space="preserve">7.11</t>
  </si>
  <si>
    <t xml:space="preserve">Bias monitoring and mitigation in agricultural AI</t>
  </si>
  <si>
    <t xml:space="preserve">7.12</t>
  </si>
  <si>
    <t xml:space="preserve">Farmer consent and data rights in AI systems</t>
  </si>
  <si>
    <t xml:space="preserve">8.1</t>
  </si>
  <si>
    <t xml:space="preserve">Prevalence of undernourishment (% of population)</t>
  </si>
  <si>
    <t xml:space="preserve">O1</t>
  </si>
  <si>
    <t xml:space="preserve">O1: Inclusion, sustainability &amp; outcomes</t>
  </si>
  <si>
    <t xml:space="preserve">Outcome</t>
  </si>
  <si>
    <t xml:space="preserve">8.2</t>
  </si>
  <si>
    <t xml:space="preserve">Account ownership, female (% age 15+)</t>
  </si>
  <si>
    <t xml:space="preserve">8.3</t>
  </si>
  <si>
    <t xml:space="preserve">Gender gap in account ownership (male % minus female %)</t>
  </si>
  <si>
    <t xml:space="preserve">8.4</t>
  </si>
  <si>
    <t xml:space="preserve">Mobile money account (% age 15+)</t>
  </si>
  <si>
    <t xml:space="preserve">8.5</t>
  </si>
  <si>
    <t xml:space="preserve">Women who own land (% of agricultural holders)</t>
  </si>
  <si>
    <t xml:space="preserve">8.6</t>
  </si>
  <si>
    <t xml:space="preserve">Gender gap in mobile phone ownership (percentage points)</t>
  </si>
  <si>
    <t xml:space="preserve">8.7</t>
  </si>
  <si>
    <t xml:space="preserve">Women using digital agricultural services (% of women farmers)</t>
  </si>
  <si>
    <t xml:space="preserve">8.8</t>
  </si>
  <si>
    <t xml:space="preserve">Youth (under 35) using digital agricultural services (%)</t>
  </si>
  <si>
    <t xml:space="preserve">8.9</t>
  </si>
  <si>
    <t xml:space="preserve">Smallholder farmers reached by digital services (% of total)</t>
  </si>
  <si>
    <t xml:space="preserve">8.10</t>
  </si>
  <si>
    <t xml:space="preserve">Affordability of digital agriculture services for poorest quintile</t>
  </si>
  <si>
    <t xml:space="preserve">8.11</t>
  </si>
  <si>
    <t xml:space="preserve">Services available in local languages (% of major platforms)</t>
  </si>
  <si>
    <t xml:space="preserve">8.12</t>
  </si>
  <si>
    <t xml:space="preserve">Documented yield improvement from digital tools (%)</t>
  </si>
  <si>
    <t xml:space="preserve">Qualitative (evidence quality)</t>
  </si>
  <si>
    <t xml:space="preserve">8.13</t>
  </si>
  <si>
    <t xml:space="preserve">Documented income improvement from digital tools (%)</t>
  </si>
  <si>
    <t xml:space="preserve">8.14</t>
  </si>
  <si>
    <t xml:space="preserve">Farmers using digital climate services (%)</t>
  </si>
  <si>
    <t xml:space="preserve">8.15</t>
  </si>
  <si>
    <t xml:space="preserve">Environmental sustainability of digital agriculture systems</t>
  </si>
  <si>
    <t xml:space="preserve">8.16</t>
  </si>
  <si>
    <t xml:space="preserve">Gender-disaggregated adoption of digital advisories</t>
  </si>
  <si>
    <t xml:space="preserve">8.17</t>
  </si>
  <si>
    <t xml:space="preserve">Climate advisory reach (% farmers receiving actionable seasonal advisories)</t>
  </si>
  <si>
    <t xml:space="preserve">Level 1</t>
  </si>
  <si>
    <t xml:space="preserve">Level 2</t>
  </si>
  <si>
    <t xml:space="preserve">Level 3</t>
  </si>
  <si>
    <t xml:space="preserve">Level 4</t>
  </si>
  <si>
    <t xml:space="preserve">Level 5</t>
  </si>
  <si>
    <t xml:space="preserve">Profile the observed level and trend; do not interpret as digital maturity.</t>
  </si>
  <si>
    <t xml:space="preserve">Profile only.</t>
  </si>
  <si>
    <t xml:space="preserve">No credible national innovation/extension programs with digital component capability, or isolated informal activity only.</t>
  </si>
  <si>
    <t xml:space="preserve">Pilot or ad hoc national innovation/extension programs with digital component; narrow coverage, unclear ownership or donor dependence.</t>
  </si>
  <si>
    <t xml:space="preserve">Operational national innovation/extension programs with digital component with defined ownership and partial coverage; adoption or interoperability gaps remain.</t>
  </si>
  <si>
    <t xml:space="preserve">Scaled and funded national innovation/extension programs with digital component, with accountable governance, interoperability and broad use.</t>
  </si>
  <si>
    <t xml:space="preserve">Institutionalized, inclusive and resilient national innovation/extension programs with digital component, continuously improved and supported by verified outcomes.</t>
  </si>
  <si>
    <t xml:space="preserve">&lt; 20</t>
  </si>
  <si>
    <t xml:space="preserve">20 to &lt; 40</t>
  </si>
  <si>
    <t xml:space="preserve">40 to &lt; 60</t>
  </si>
  <si>
    <t xml:space="preserve">60 to &lt; 80</t>
  </si>
  <si>
    <t xml:space="preserve">&gt;= 80</t>
  </si>
  <si>
    <t xml:space="preserve">40 to &lt; 70</t>
  </si>
  <si>
    <t xml:space="preserve">70 to &lt; 100</t>
  </si>
  <si>
    <t xml:space="preserve">&gt;= 100</t>
  </si>
  <si>
    <t xml:space="preserve">&gt; 10</t>
  </si>
  <si>
    <t xml:space="preserve">&gt; 5 to &lt;= 10</t>
  </si>
  <si>
    <t xml:space="preserve">&gt; 2 to &lt;= 5</t>
  </si>
  <si>
    <t xml:space="preserve">&gt; 1 to &lt;= 2</t>
  </si>
  <si>
    <t xml:space="preserve">&lt;= 1</t>
  </si>
  <si>
    <t xml:space="preserve">&lt; 2</t>
  </si>
  <si>
    <t xml:space="preserve">2 to &lt; 5</t>
  </si>
  <si>
    <t xml:space="preserve">5 to &lt; 10</t>
  </si>
  <si>
    <t xml:space="preserve">10 to &lt; 25</t>
  </si>
  <si>
    <t xml:space="preserve">&gt;= 25</t>
  </si>
  <si>
    <t xml:space="preserve">No credible device financing/subsidy schemes for farmers capability, or isolated informal activity only.</t>
  </si>
  <si>
    <t xml:space="preserve">Pilot or ad hoc device financing/subsidy schemes for farmers; narrow coverage, unclear ownership or donor dependence.</t>
  </si>
  <si>
    <t xml:space="preserve">Operational device financing/subsidy schemes for farmers with defined ownership and partial coverage; adoption or interoperability gaps remain.</t>
  </si>
  <si>
    <t xml:space="preserve">Scaled and funded device financing/subsidy schemes for farmers, with accountable governance, interoperability and broad use.</t>
  </si>
  <si>
    <t xml:space="preserve">Institutionalized, inclusive and resilient device financing/subsidy schemes for farmers, continuously improved and supported by verified outcomes.</t>
  </si>
  <si>
    <t xml:space="preserve">&lt; 0.2</t>
  </si>
  <si>
    <t xml:space="preserve">0.2 to &lt; 0.4</t>
  </si>
  <si>
    <t xml:space="preserve">0.4 to &lt; 0.6</t>
  </si>
  <si>
    <t xml:space="preserve">0.6 to &lt; 0.8</t>
  </si>
  <si>
    <t xml:space="preserve">&gt;= 0.8</t>
  </si>
  <si>
    <t xml:space="preserve">No credible national farmer registry/database capability, or isolated informal activity only.</t>
  </si>
  <si>
    <t xml:space="preserve">Pilot or ad hoc national farmer registry/database; narrow coverage, unclear ownership or donor dependence.</t>
  </si>
  <si>
    <t xml:space="preserve">Operational national farmer registry/database with defined ownership and partial coverage; adoption or interoperability gaps remain.</t>
  </si>
  <si>
    <t xml:space="preserve">Scaled and funded national farmer registry/database, with accountable governance, interoperability and broad use.</t>
  </si>
  <si>
    <t xml:space="preserve">Institutionalized, inclusive and resilient national farmer registry/database, continuously improved and supported by verified outcomes.</t>
  </si>
  <si>
    <t xml:space="preserve">No credible digital land/plot registration system capability, or isolated informal activity only.</t>
  </si>
  <si>
    <t xml:space="preserve">Pilot or ad hoc digital land/plot registration system; narrow coverage, unclear ownership or donor dependence.</t>
  </si>
  <si>
    <t xml:space="preserve">Operational digital land/plot registration system with defined ownership and partial coverage; adoption or interoperability gaps remain.</t>
  </si>
  <si>
    <t xml:space="preserve">Scaled and funded digital land/plot registration system, with accountable governance, interoperability and broad use.</t>
  </si>
  <si>
    <t xml:space="preserve">Institutionalized, inclusive and resilient digital land/plot registration system, continuously improved and supported by verified outcomes.</t>
  </si>
  <si>
    <t xml:space="preserve">No credible national agricultural data portal / open data capability, or isolated informal activity only.</t>
  </si>
  <si>
    <t xml:space="preserve">Pilot or ad hoc national agricultural data portal / open data; narrow coverage, unclear ownership or donor dependence.</t>
  </si>
  <si>
    <t xml:space="preserve">Operational national agricultural data portal / open data with defined ownership and partial coverage; adoption or interoperability gaps remain.</t>
  </si>
  <si>
    <t xml:space="preserve">Scaled and funded national agricultural data portal / open data, with accountable governance, interoperability and broad use.</t>
  </si>
  <si>
    <t xml:space="preserve">Institutionalized, inclusive and resilient national agricultural data portal / open data, continuously improved and supported by verified outcomes.</t>
  </si>
  <si>
    <t xml:space="preserve">No functioning agrometeorological observation network or data access.</t>
  </si>
  <si>
    <t xml:space="preserve">Observation infrastructure exists but agriculture-relevant forecasts are not produced reliably.</t>
  </si>
  <si>
    <t xml:space="preserve">Agriculture-relevant forecasts and advisories are produced with defined ownership; dissemination reaches a minority of farming households; impact-based advisories are absent.</t>
  </si>
  <si>
    <t xml:space="preserve">Impact-based agromet advisories are produced and disseminated through channels reaching most farming areas (radio, mobile, extension), aligned to crop calendars.</t>
  </si>
  <si>
    <t xml:space="preserve">End-to-end climate services: observations, impact-based forecasts and last-mile dissemination with verified reach and farmer feedback, sustained by budget and a hydromet-agriculture agreement.</t>
  </si>
  <si>
    <t xml:space="preserve">No credible satellite/earth observation data integration capability capability, or isolated informal activity only.</t>
  </si>
  <si>
    <t xml:space="preserve">Pilot or ad hoc satellite/earth observation data integration capability; narrow coverage, unclear ownership or donor dependence.</t>
  </si>
  <si>
    <t xml:space="preserve">Operational satellite/earth observation data integration capability with defined ownership and partial coverage; adoption or interoperability gaps remain.</t>
  </si>
  <si>
    <t xml:space="preserve">Scaled and funded satellite/earth observation data integration capability, with accountable governance, interoperability and broad use.</t>
  </si>
  <si>
    <t xml:space="preserve">Institutionalized, inclusive and resilient satellite/earth observation data integration capability, continuously improved and supported by verified outcomes.</t>
  </si>
  <si>
    <t xml:space="preserve">No credible national soil map/database capability, or isolated informal activity only.</t>
  </si>
  <si>
    <t xml:space="preserve">Pilot or ad hoc national soil map/database; narrow coverage, unclear ownership or donor dependence.</t>
  </si>
  <si>
    <t xml:space="preserve">Operational national soil map/database with defined ownership and partial coverage; adoption or interoperability gaps remain.</t>
  </si>
  <si>
    <t xml:space="preserve">Scaled and funded national soil map/database, with accountable governance, interoperability and broad use.</t>
  </si>
  <si>
    <t xml:space="preserve">Institutionalized, inclusive and resilient national soil map/database, continuously improved and supported by verified outcomes.</t>
  </si>
  <si>
    <t xml:space="preserve">No credible digital agricultural market/e-commerce platforms capability, or isolated informal activity only.</t>
  </si>
  <si>
    <t xml:space="preserve">Pilot or ad hoc digital agricultural market/e-commerce platforms; narrow coverage, unclear ownership or donor dependence.</t>
  </si>
  <si>
    <t xml:space="preserve">Operational digital agricultural market/e-commerce platforms with defined ownership and partial coverage; adoption or interoperability gaps remain.</t>
  </si>
  <si>
    <t xml:space="preserve">Scaled and funded digital agricultural market/e-commerce platforms, with accountable governance, interoperability and broad use.</t>
  </si>
  <si>
    <t xml:space="preserve">Institutionalized, inclusive and resilient digital agricultural market/e-commerce platforms, continuously improved and supported by verified outcomes.</t>
  </si>
  <si>
    <t xml:space="preserve">No credible interoperability standards for agricultural data capability, or isolated informal activity only.</t>
  </si>
  <si>
    <t xml:space="preserve">Pilot or ad hoc interoperability standards for agricultural data; narrow coverage, unclear ownership or donor dependence.</t>
  </si>
  <si>
    <t xml:space="preserve">Operational interoperability standards for agricultural data with defined ownership and partial coverage; adoption or interoperability gaps remain.</t>
  </si>
  <si>
    <t xml:space="preserve">Scaled and funded interoperability standards for agricultural data, with accountable governance, interoperability and broad use.</t>
  </si>
  <si>
    <t xml:space="preserve">Institutionalized, inclusive and resilient interoperability standards for agricultural data, continuously improved and supported by verified outcomes.</t>
  </si>
  <si>
    <t xml:space="preserve">No credible ai-ready agricultural datasets capability, or isolated informal activity only.</t>
  </si>
  <si>
    <t xml:space="preserve">Pilot or ad hoc ai-ready agricultural datasets; narrow coverage, unclear ownership or donor dependence.</t>
  </si>
  <si>
    <t xml:space="preserve">Operational ai-ready agricultural datasets with defined ownership and partial coverage; adoption or interoperability gaps remain.</t>
  </si>
  <si>
    <t xml:space="preserve">Scaled and funded ai-ready agricultural datasets, with accountable governance, interoperability and broad use.</t>
  </si>
  <si>
    <t xml:space="preserve">Institutionalized, inclusive and resilient ai-ready agricultural datasets, continuously improved and supported by verified outcomes.</t>
  </si>
  <si>
    <t xml:space="preserve">≥ 80</t>
  </si>
  <si>
    <t xml:space="preserve">No credible data protection/privacy law capability, or isolated informal activity only.</t>
  </si>
  <si>
    <t xml:space="preserve">Pilot or ad hoc data protection/privacy law; narrow coverage, unclear ownership or donor dependence.</t>
  </si>
  <si>
    <t xml:space="preserve">Operational data protection/privacy law with defined ownership and partial coverage; adoption or interoperability gaps remain.</t>
  </si>
  <si>
    <t xml:space="preserve">Scaled and funded data protection/privacy law, with accountable governance, interoperability and broad use.</t>
  </si>
  <si>
    <t xml:space="preserve">Institutionalized, inclusive and resilient data protection/privacy law, continuously improved and supported by verified outcomes.</t>
  </si>
  <si>
    <t xml:space="preserve">No credible national digital agriculture strategy capability, or isolated informal activity only.</t>
  </si>
  <si>
    <t xml:space="preserve">Pilot or ad hoc national digital agriculture strategy; narrow coverage, unclear ownership or donor dependence.</t>
  </si>
  <si>
    <t xml:space="preserve">Operational national digital agriculture strategy with defined ownership and partial coverage; adoption or interoperability gaps remain.</t>
  </si>
  <si>
    <t xml:space="preserve">Scaled and funded national digital agriculture strategy, with accountable governance, interoperability and broad use.</t>
  </si>
  <si>
    <t xml:space="preserve">Institutionalized, inclusive and resilient national digital agriculture strategy, continuously improved and supported by verified outcomes.</t>
  </si>
  <si>
    <t xml:space="preserve">No credible agricultural data governance framework capability, or isolated informal activity only.</t>
  </si>
  <si>
    <t xml:space="preserve">Pilot or ad hoc agricultural data governance framework; narrow coverage, unclear ownership or donor dependence.</t>
  </si>
  <si>
    <t xml:space="preserve">Operational agricultural data governance framework with defined ownership and partial coverage; adoption or interoperability gaps remain.</t>
  </si>
  <si>
    <t xml:space="preserve">Scaled and funded agricultural data governance framework, with accountable governance, interoperability and broad use.</t>
  </si>
  <si>
    <t xml:space="preserve">Institutionalized, inclusive and resilient agricultural data governance framework, continuously improved and supported by verified outcomes.</t>
  </si>
  <si>
    <t xml:space="preserve">No credible national ai strategy with agriculture component capability, or isolated informal activity only.</t>
  </si>
  <si>
    <t xml:space="preserve">Pilot or ad hoc national ai strategy with agriculture component; narrow coverage, unclear ownership or donor dependence.</t>
  </si>
  <si>
    <t xml:space="preserve">Operational national ai strategy with agriculture component with defined ownership and partial coverage; adoption or interoperability gaps remain.</t>
  </si>
  <si>
    <t xml:space="preserve">Scaled and funded national ai strategy with agriculture component, with accountable governance, interoperability and broad use.</t>
  </si>
  <si>
    <t xml:space="preserve">Institutionalized, inclusive and resilient national ai strategy with agriculture component, continuously improved and supported by verified outcomes.</t>
  </si>
  <si>
    <t xml:space="preserve">No credible data sovereignty provisions for agricultural data capability, or isolated informal activity only.</t>
  </si>
  <si>
    <t xml:space="preserve">Pilot or ad hoc data sovereignty provisions for agricultural data; narrow coverage, unclear ownership or donor dependence.</t>
  </si>
  <si>
    <t xml:space="preserve">Operational data sovereignty provisions for agricultural data with defined ownership and partial coverage; adoption or interoperability gaps remain.</t>
  </si>
  <si>
    <t xml:space="preserve">Scaled and funded data sovereignty provisions for agricultural data, with accountable governance, interoperability and broad use.</t>
  </si>
  <si>
    <t xml:space="preserve">Institutionalized, inclusive and resilient data sovereignty provisions for agricultural data, continuously improved and supported by verified outcomes.</t>
  </si>
  <si>
    <t xml:space="preserve">No credible inter-ministerial coordination mechanism for digital agriculture capability, or isolated informal activity only.</t>
  </si>
  <si>
    <t xml:space="preserve">Pilot or ad hoc inter-ministerial coordination mechanism for digital agriculture; narrow coverage, unclear ownership or donor dependence.</t>
  </si>
  <si>
    <t xml:space="preserve">Operational inter-ministerial coordination mechanism for digital agriculture with defined ownership and partial coverage; adoption or interoperability gaps remain.</t>
  </si>
  <si>
    <t xml:space="preserve">Scaled and funded inter-ministerial coordination mechanism for digital agriculture, with accountable governance, interoperability and broad use.</t>
  </si>
  <si>
    <t xml:space="preserve">Institutionalized, inclusive and resilient inter-ministerial coordination mechanism for digital agriculture, continuously improved and supported by verified outcomes.</t>
  </si>
  <si>
    <t xml:space="preserve">No credible competition/antitrust framework for digital agricultural markets capability, or isolated informal activity only.</t>
  </si>
  <si>
    <t xml:space="preserve">Pilot or ad hoc competition/antitrust framework for digital agricultural markets; narrow coverage, unclear ownership or donor dependence.</t>
  </si>
  <si>
    <t xml:space="preserve">Operational competition/antitrust framework for digital agricultural markets with defined ownership and partial coverage; adoption or interoperability gaps remain.</t>
  </si>
  <si>
    <t xml:space="preserve">Scaled and funded competition/antitrust framework for digital agricultural markets, with accountable governance, interoperability and broad use.</t>
  </si>
  <si>
    <t xml:space="preserve">Institutionalized, inclusive and resilient competition/antitrust framework for digital agricultural markets, continuously improved and supported by verified outcomes.</t>
  </si>
  <si>
    <t xml:space="preserve">No credible public procurement rules enabling digital agriculture innovation capability, or isolated informal activity only.</t>
  </si>
  <si>
    <t xml:space="preserve">Pilot or ad hoc public procurement rules enabling digital agriculture innovation; narrow coverage, unclear ownership or donor dependence.</t>
  </si>
  <si>
    <t xml:space="preserve">Operational public procurement rules enabling digital agriculture innovation with defined ownership and partial coverage; adoption or interoperability gaps remain.</t>
  </si>
  <si>
    <t xml:space="preserve">Scaled and funded public procurement rules enabling digital agriculture innovation, with accountable governance, interoperability and broad use.</t>
  </si>
  <si>
    <t xml:space="preserve">Institutionalized, inclusive and resilient public procurement rules enabling digital agriculture innovation, continuously improved and supported by verified outcomes.</t>
  </si>
  <si>
    <t xml:space="preserve">No credible spectrum allocation for rural/agricultural iot capability, or isolated informal activity only.</t>
  </si>
  <si>
    <t xml:space="preserve">Pilot or ad hoc spectrum allocation for rural/agricultural iot; narrow coverage, unclear ownership or donor dependence.</t>
  </si>
  <si>
    <t xml:space="preserve">Operational spectrum allocation for rural/agricultural iot with defined ownership and partial coverage; adoption or interoperability gaps remain.</t>
  </si>
  <si>
    <t xml:space="preserve">Scaled and funded spectrum allocation for rural/agricultural iot, with accountable governance, interoperability and broad use.</t>
  </si>
  <si>
    <t xml:space="preserve">Institutionalized, inclusive and resilient spectrum allocation for rural/agricultural iot, continuously improved and supported by verified outcomes.</t>
  </si>
  <si>
    <t xml:space="preserve">No credible responsible ai principles/guidelines for agriculture capability, or isolated informal activity only.</t>
  </si>
  <si>
    <t xml:space="preserve">Pilot or ad hoc responsible ai principles/guidelines for agriculture; narrow coverage, unclear ownership or donor dependence.</t>
  </si>
  <si>
    <t xml:space="preserve">Operational responsible ai principles/guidelines for agriculture with defined ownership and partial coverage; adoption or interoperability gaps remain.</t>
  </si>
  <si>
    <t xml:space="preserve">Scaled and funded responsible ai principles/guidelines for agriculture, with accountable governance, interoperability and broad use.</t>
  </si>
  <si>
    <t xml:space="preserve">Institutionalized, inclusive and resilient responsible ai principles/guidelines for agriculture, continuously improved and supported by verified outcomes.</t>
  </si>
  <si>
    <t xml:space="preserve">&lt; 4</t>
  </si>
  <si>
    <t xml:space="preserve">4 to &lt; 6</t>
  </si>
  <si>
    <t xml:space="preserve">6 to &lt; 8</t>
  </si>
  <si>
    <t xml:space="preserve">8 to &lt; 10</t>
  </si>
  <si>
    <t xml:space="preserve">&gt;= 10</t>
  </si>
  <si>
    <t xml:space="preserve">&lt; 50</t>
  </si>
  <si>
    <t xml:space="preserve">50 to &lt; 65</t>
  </si>
  <si>
    <t xml:space="preserve">65 to &lt; 80</t>
  </si>
  <si>
    <t xml:space="preserve">80 to &lt; 90</t>
  </si>
  <si>
    <t xml:space="preserve">&gt;= 90</t>
  </si>
  <si>
    <t xml:space="preserve">&lt; 10</t>
  </si>
  <si>
    <t xml:space="preserve">10 to &lt; 20</t>
  </si>
  <si>
    <t xml:space="preserve">20 to &lt; 30</t>
  </si>
  <si>
    <t xml:space="preserve">30 to &lt; 40</t>
  </si>
  <si>
    <t xml:space="preserve">&gt;= 40</t>
  </si>
  <si>
    <t xml:space="preserve">25 to &lt; 50</t>
  </si>
  <si>
    <t xml:space="preserve">50 to &lt; 75</t>
  </si>
  <si>
    <t xml:space="preserve">&gt;= 75</t>
  </si>
  <si>
    <t xml:space="preserve">No credible farmer-to-digital-extension-worker ratio capability, or isolated informal activity only.</t>
  </si>
  <si>
    <t xml:space="preserve">Pilot or ad hoc farmer-to-digital-extension-worker ratio; narrow coverage, unclear ownership or donor dependence.</t>
  </si>
  <si>
    <t xml:space="preserve">Operational farmer-to-digital-extension-worker ratio with defined ownership and partial coverage; adoption or interoperability gaps remain.</t>
  </si>
  <si>
    <t xml:space="preserve">Scaled and funded farmer-to-digital-extension-worker ratio, with accountable governance, interoperability and broad use.</t>
  </si>
  <si>
    <t xml:space="preserve">Institutionalized, inclusive and resilient farmer-to-digital-extension-worker ratio, continuously improved and supported by verified outcomes.</t>
  </si>
  <si>
    <t xml:space="preserve">No credible dedicated digital/ai units in ministry of agriculture capability, or isolated informal activity only.</t>
  </si>
  <si>
    <t xml:space="preserve">Pilot or ad hoc dedicated digital/ai units in ministry of agriculture; narrow coverage, unclear ownership or donor dependence.</t>
  </si>
  <si>
    <t xml:space="preserve">Operational dedicated digital/ai units in ministry of agriculture with defined ownership and partial coverage; adoption or interoperability gaps remain.</t>
  </si>
  <si>
    <t xml:space="preserve">Scaled and funded dedicated digital/ai units in ministry of agriculture, with accountable governance, interoperability and broad use.</t>
  </si>
  <si>
    <t xml:space="preserve">Institutionalized, inclusive and resilient dedicated digital/ai units in ministry of agriculture, continuously improved and supported by verified outcomes.</t>
  </si>
  <si>
    <t xml:space="preserve">No credible university programs in agtech/digital agriculture capability, or isolated informal activity only.</t>
  </si>
  <si>
    <t xml:space="preserve">Pilot or ad hoc university programs in agtech/digital agriculture; narrow coverage, unclear ownership or donor dependence.</t>
  </si>
  <si>
    <t xml:space="preserve">Operational university programs in agtech/digital agriculture with defined ownership and partial coverage; adoption or interoperability gaps remain.</t>
  </si>
  <si>
    <t xml:space="preserve">Scaled and funded university programs in agtech/digital agriculture, with accountable governance, interoperability and broad use.</t>
  </si>
  <si>
    <t xml:space="preserve">Institutionalized, inclusive and resilient university programs in agtech/digital agriculture, continuously improved and supported by verified outcomes.</t>
  </si>
  <si>
    <t xml:space="preserve">No credible data science/ai training programs for agriculture capability, or isolated informal activity only.</t>
  </si>
  <si>
    <t xml:space="preserve">Pilot or ad hoc data science/ai training programs for agriculture; narrow coverage, unclear ownership or donor dependence.</t>
  </si>
  <si>
    <t xml:space="preserve">Operational data science/ai training programs for agriculture with defined ownership and partial coverage; adoption or interoperability gaps remain.</t>
  </si>
  <si>
    <t xml:space="preserve">Scaled and funded data science/ai training programs for agriculture, with accountable governance, interoperability and broad use.</t>
  </si>
  <si>
    <t xml:space="preserve">Institutionalized, inclusive and resilient data science/ai training programs for agriculture, continuously improved and supported by verified outcomes.</t>
  </si>
  <si>
    <t xml:space="preserve">&gt;= 20</t>
  </si>
  <si>
    <t xml:space="preserve">No credible institutional digital maturity of key agricultural agencies capability, or isolated informal activity only.</t>
  </si>
  <si>
    <t xml:space="preserve">Pilot or ad hoc institutional digital maturity of key agricultural agencies; narrow coverage, unclear ownership or donor dependence.</t>
  </si>
  <si>
    <t xml:space="preserve">Operational institutional digital maturity of key agricultural agencies with defined ownership and partial coverage; adoption or interoperability gaps remain.</t>
  </si>
  <si>
    <t xml:space="preserve">Scaled and funded institutional digital maturity of key agricultural agencies, with accountable governance, interoperability and broad use.</t>
  </si>
  <si>
    <t xml:space="preserve">Institutionalized, inclusive and resilient institutional digital maturity of key agricultural agencies, continuously improved and supported by verified outcomes.</t>
  </si>
  <si>
    <t xml:space="preserve">20 to &lt; 35</t>
  </si>
  <si>
    <t xml:space="preserve">35 to &lt; 45</t>
  </si>
  <si>
    <t xml:space="preserve">45 to &lt; 50</t>
  </si>
  <si>
    <t xml:space="preserve">&gt;= 50</t>
  </si>
  <si>
    <t xml:space="preserve">25 to &lt; 40</t>
  </si>
  <si>
    <t xml:space="preserve">40 to &lt; 50</t>
  </si>
  <si>
    <t xml:space="preserve">≥ 50</t>
  </si>
  <si>
    <t xml:space="preserve">&lt; 25</t>
  </si>
  <si>
    <t xml:space="preserve">25 to &lt; 35</t>
  </si>
  <si>
    <t xml:space="preserve">45 to &lt; 55</t>
  </si>
  <si>
    <t xml:space="preserve">&gt;= 55</t>
  </si>
  <si>
    <t xml:space="preserve">&lt; 0.1</t>
  </si>
  <si>
    <t xml:space="preserve">0.1 to &lt; 0.5</t>
  </si>
  <si>
    <t xml:space="preserve">0.5 to &lt; 1</t>
  </si>
  <si>
    <t xml:space="preserve">1 to &lt; 2</t>
  </si>
  <si>
    <t xml:space="preserve">&gt;= 2</t>
  </si>
  <si>
    <t xml:space="preserve">&lt; 30</t>
  </si>
  <si>
    <t xml:space="preserve">30 to &lt; 45</t>
  </si>
  <si>
    <t xml:space="preserve">45 to &lt; 60</t>
  </si>
  <si>
    <t xml:space="preserve">60 to &lt; 75</t>
  </si>
  <si>
    <t xml:space="preserve">No credible active agtech startups/firms capability, or isolated informal activity only.</t>
  </si>
  <si>
    <t xml:space="preserve">Pilot or ad hoc active agtech startups/firms; narrow coverage, unclear ownership or donor dependence.</t>
  </si>
  <si>
    <t xml:space="preserve">Operational active agtech startups/firms with defined ownership and partial coverage; adoption or interoperability gaps remain.</t>
  </si>
  <si>
    <t xml:space="preserve">Scaled and funded active agtech startups/firms, with accountable governance, interoperability and broad use.</t>
  </si>
  <si>
    <t xml:space="preserve">Institutionalized, inclusive and resilient active agtech startups/firms, continuously improved and supported by verified outcomes.</t>
  </si>
  <si>
    <t xml:space="preserve">No credible venture capital/investment in agtech capability, or isolated informal activity only.</t>
  </si>
  <si>
    <t xml:space="preserve">Pilot or ad hoc venture capital/investment in agtech; narrow coverage, unclear ownership or donor dependence.</t>
  </si>
  <si>
    <t xml:space="preserve">Operational venture capital/investment in agtech with defined ownership and partial coverage; adoption or interoperability gaps remain.</t>
  </si>
  <si>
    <t xml:space="preserve">Scaled and funded venture capital/investment in agtech, with accountable governance, interoperability and broad use.</t>
  </si>
  <si>
    <t xml:space="preserve">Institutionalized, inclusive and resilient venture capital/investment in agtech, continuously improved and supported by verified outcomes.</t>
  </si>
  <si>
    <t xml:space="preserve">No credible agtech accelerators/incubators capability, or isolated informal activity only.</t>
  </si>
  <si>
    <t xml:space="preserve">Pilot or ad hoc agtech accelerators/incubators; narrow coverage, unclear ownership or donor dependence.</t>
  </si>
  <si>
    <t xml:space="preserve">Operational agtech accelerators/incubators with defined ownership and partial coverage; adoption or interoperability gaps remain.</t>
  </si>
  <si>
    <t xml:space="preserve">Scaled and funded agtech accelerators/incubators, with accountable governance, interoperability and broad use.</t>
  </si>
  <si>
    <t xml:space="preserve">Institutionalized, inclusive and resilient agtech accelerators/incubators, continuously improved and supported by verified outcomes.</t>
  </si>
  <si>
    <t xml:space="preserve">&lt; 5</t>
  </si>
  <si>
    <t xml:space="preserve">5 to &lt; 15</t>
  </si>
  <si>
    <t xml:space="preserve">15 to &lt; 30</t>
  </si>
  <si>
    <t xml:space="preserve">30 to &lt; 50</t>
  </si>
  <si>
    <t xml:space="preserve">No credible regulatory sandboxes for agtech/fintech capability, or isolated informal activity only.</t>
  </si>
  <si>
    <t xml:space="preserve">Pilot or ad hoc regulatory sandboxes for agtech/fintech; narrow coverage, unclear ownership or donor dependence.</t>
  </si>
  <si>
    <t xml:space="preserve">Operational regulatory sandboxes for agtech/fintech with defined ownership and partial coverage; adoption or interoperability gaps remain.</t>
  </si>
  <si>
    <t xml:space="preserve">Scaled and funded regulatory sandboxes for agtech/fintech, with accountable governance, interoperability and broad use.</t>
  </si>
  <si>
    <t xml:space="preserve">Institutionalized, inclusive and resilient regulatory sandboxes for agtech/fintech, continuously improved and supported by verified outcomes.</t>
  </si>
  <si>
    <t xml:space="preserve">No credible public-private partnerships in digital agriculture capability, or isolated informal activity only.</t>
  </si>
  <si>
    <t xml:space="preserve">Pilot or ad hoc public-private partnerships in digital agriculture; narrow coverage, unclear ownership or donor dependence.</t>
  </si>
  <si>
    <t xml:space="preserve">Operational public-private partnerships in digital agriculture with defined ownership and partial coverage; adoption or interoperability gaps remain.</t>
  </si>
  <si>
    <t xml:space="preserve">Scaled and funded public-private partnerships in digital agriculture, with accountable governance, interoperability and broad use.</t>
  </si>
  <si>
    <t xml:space="preserve">Institutionalized, inclusive and resilient public-private partnerships in digital agriculture, continuously improved and supported by verified outcomes.</t>
  </si>
  <si>
    <t xml:space="preserve">No credible government grants/funding for agtech innovation capability, or isolated informal activity only.</t>
  </si>
  <si>
    <t xml:space="preserve">Pilot or ad hoc government grants/funding for agtech innovation; narrow coverage, unclear ownership or donor dependence.</t>
  </si>
  <si>
    <t xml:space="preserve">Operational government grants/funding for agtech innovation with defined ownership and partial coverage; adoption or interoperability gaps remain.</t>
  </si>
  <si>
    <t xml:space="preserve">Scaled and funded government grants/funding for agtech innovation, with accountable governance, interoperability and broad use.</t>
  </si>
  <si>
    <t xml:space="preserve">Institutionalized, inclusive and resilient government grants/funding for agtech innovation, continuously improved and supported by verified outcomes.</t>
  </si>
  <si>
    <t xml:space="preserve">No credible digital financial services platforms for agriculture capability, or isolated informal activity only.</t>
  </si>
  <si>
    <t xml:space="preserve">Pilot or ad hoc digital financial services platforms for agriculture; narrow coverage, unclear ownership or donor dependence.</t>
  </si>
  <si>
    <t xml:space="preserve">Operational digital financial services platforms for agriculture with defined ownership and partial coverage; adoption or interoperability gaps remain.</t>
  </si>
  <si>
    <t xml:space="preserve">Scaled and funded digital financial services platforms for agriculture, with accountable governance, interoperability and broad use.</t>
  </si>
  <si>
    <t xml:space="preserve">Institutionalized, inclusive and resilient digital financial services platforms for agriculture, continuously improved and supported by verified outcomes.</t>
  </si>
  <si>
    <t xml:space="preserve">No credible digital public goods adopted in agriculture capability, or isolated informal activity only.</t>
  </si>
  <si>
    <t xml:space="preserve">Pilot or ad hoc digital public goods adopted in agriculture; narrow coverage, unclear ownership or donor dependence.</t>
  </si>
  <si>
    <t xml:space="preserve">Operational digital public goods adopted in agriculture with defined ownership and partial coverage; adoption or interoperability gaps remain.</t>
  </si>
  <si>
    <t xml:space="preserve">Scaled and funded digital public goods adopted in agriculture, with accountable governance, interoperability and broad use.</t>
  </si>
  <si>
    <t xml:space="preserve">Institutionalized, inclusive and resilient digital public goods adopted in agriculture, continuously improved and supported by verified outcomes.</t>
  </si>
  <si>
    <t xml:space="preserve">No smallholder-accessible digital payment or credit rails; farmers rely on cash and informal traders.</t>
  </si>
  <si>
    <t xml:space="preserve">Isolated donor or MFI pilots of mobile-money or digital credit reaching &lt;1% of farming households.</t>
  </si>
  <si>
    <t xml:space="preserve">One or more operational agri-fintech services in market with measurable smallholder reach; interoperability with banking rails is partial.</t>
  </si>
  <si>
    <t xml:space="preserve">Multiple funded agri-fintech services reach ≥15% of farming households; interoperability with national payment switch; some product diversification (input credit, insurance).</t>
  </si>
  <si>
    <t xml:space="preserve">Institutionalised smallholder agri-fintech ecosystem: broad adoption (≥40% of farming households), full interoperability, gender-inclusive product design, and evidence of impact on input use or productivity.</t>
  </si>
  <si>
    <t xml:space="preserve">&lt; 1</t>
  </si>
  <si>
    <t xml:space="preserve">1 to &lt; 5</t>
  </si>
  <si>
    <t xml:space="preserve">5 to &lt; 20</t>
  </si>
  <si>
    <t xml:space="preserve">20 to &lt; 50</t>
  </si>
  <si>
    <t xml:space="preserve">No credible ai systems deployed in public agricultural sector capability, or isolated informal activity only.</t>
  </si>
  <si>
    <t xml:space="preserve">Pilot or ad hoc ai systems deployed in public agricultural sector; narrow coverage, unclear ownership or donor dependence.</t>
  </si>
  <si>
    <t xml:space="preserve">Operational ai systems deployed in public agricultural sector with defined ownership and partial coverage; adoption or interoperability gaps remain.</t>
  </si>
  <si>
    <t xml:space="preserve">Scaled and funded ai systems deployed in public agricultural sector, with accountable governance, interoperability and broad use.</t>
  </si>
  <si>
    <t xml:space="preserve">Institutionalized, inclusive and resilient ai systems deployed in public agricultural sector, continuously improved and supported by verified outcomes.</t>
  </si>
  <si>
    <t xml:space="preserve">2 to &lt; 10</t>
  </si>
  <si>
    <t xml:space="preserve">No credible ai talent in agriculture sector capability, or isolated informal activity only.</t>
  </si>
  <si>
    <t xml:space="preserve">Pilot or ad hoc ai talent in agriculture sector; narrow coverage, unclear ownership or donor dependence.</t>
  </si>
  <si>
    <t xml:space="preserve">Operational ai talent in agriculture sector with defined ownership and partial coverage; adoption or interoperability gaps remain.</t>
  </si>
  <si>
    <t xml:space="preserve">Scaled and funded ai talent in agriculture sector, with accountable governance, interoperability and broad use.</t>
  </si>
  <si>
    <t xml:space="preserve">Institutionalized, inclusive and resilient ai talent in agriculture sector, continuously improved and supported by verified outcomes.</t>
  </si>
  <si>
    <t xml:space="preserve">No security ownership, policy or incident response for agricultural digital systems; national CERT does not cover the sector.</t>
  </si>
  <si>
    <t xml:space="preserve">Generic national framework exists on paper; no agricultural system has a completed security assessment or a named security owner.</t>
  </si>
  <si>
    <t xml:space="preserve">Major agricultural systems have named security owners and at least one completed assessment or audit; incident response remains ad hoc; farmer-data systems are not prioritized.</t>
  </si>
  <si>
    <t xml:space="preserve">Sector systems are covered by CERT / incident-response arrangements, periodic audits and access controls; tested backups and a breach-notification duty are evidenced.</t>
  </si>
  <si>
    <t xml:space="preserve">Institutionalized sector security programme: recurring audits, monitored incidents with recorded lessons, farmer-data systems classified as protected assets, funded security budget.</t>
  </si>
  <si>
    <t xml:space="preserve">No disclosure that AI is used in farmer-facing services; no documentation exists.</t>
  </si>
  <si>
    <t xml:space="preserve">AI use is acknowledged but there is no farmer-facing explanation and no documentation of model purpose or limits.</t>
  </si>
  <si>
    <t xml:space="preserve">Major AI services publish plain-language descriptions of purpose, inputs and limitations; no independent review has occurred.</t>
  </si>
  <si>
    <t xml:space="preserve">Documented model descriptions exist for deployed systems; advisories flag uncertainty; at least one independent review has been performed.</t>
  </si>
  <si>
    <t xml:space="preserve">A sector standard requires explainability for farmer-affecting AI decisions, with audited compliance and accessible explanations in local languages.</t>
  </si>
  <si>
    <t xml:space="preserve">No consideration of bias or exclusion in agricultural AI or digital targeting systems.</t>
  </si>
  <si>
    <t xml:space="preserve">Bias is acknowledged as a risk; nothing is measured.</t>
  </si>
  <si>
    <t xml:space="preserve">At least one deployed system has been tested for differential accuracy or coverage across regions, gender or farm types, with findings documented.</t>
  </si>
  <si>
    <t xml:space="preserve">Routine disaggregated performance monitoring for major systems, with corrective actions recorded.</t>
  </si>
  <si>
    <t xml:space="preserve">Mandatory pre-deployment bias assessment plus ongoing monitoring with published results and redress where harm is found.</t>
  </si>
  <si>
    <t xml:space="preserve">Farmer data is used without a consent basis; no data-rights framework exists.</t>
  </si>
  <si>
    <t xml:space="preserve">Consent is collected pro forma (unexplained tick-box); access, correction or deletion rights do not work in practice.</t>
  </si>
  <si>
    <t xml:space="preserve">Clear consent at registration for stated purposes; farmers can access their records; rights are partly exercised in practice.</t>
  </si>
  <si>
    <t xml:space="preserve">Purpose limitation, consent management, and working access / correction / portability channels are evidenced by usage records.</t>
  </si>
  <si>
    <t xml:space="preserve">Enforceable farmer data rights with independent oversight, audited consent practices, and demonstrated remedies.</t>
  </si>
  <si>
    <t xml:space="preserve">&gt; 25</t>
  </si>
  <si>
    <t xml:space="preserve">&gt; 15 to &lt;= 25</t>
  </si>
  <si>
    <t xml:space="preserve">&gt; 7.5 to &lt;= 15</t>
  </si>
  <si>
    <t xml:space="preserve">&gt; 2.5 to &lt;= 7.5</t>
  </si>
  <si>
    <t xml:space="preserve">&lt;= 2.5</t>
  </si>
  <si>
    <t xml:space="preserve">&gt; 8 to &lt;= 15</t>
  </si>
  <si>
    <t xml:space="preserve">&gt; 3 to &lt;= 8</t>
  </si>
  <si>
    <t xml:space="preserve">&lt;= 3</t>
  </si>
  <si>
    <t xml:space="preserve">&gt; 20</t>
  </si>
  <si>
    <t xml:space="preserve">&gt; 10 to &lt;= 20</t>
  </si>
  <si>
    <t xml:space="preserve">&lt;= 2</t>
  </si>
  <si>
    <t xml:space="preserve">75 to &lt; 90</t>
  </si>
  <si>
    <t xml:space="preserve">No evidence of yield effects from digital tools.</t>
  </si>
  <si>
    <t xml:space="preserve">Vendor or self-reported claims only.</t>
  </si>
  <si>
    <t xml:space="preserve">Independent descriptive study (before/after or cross-section) without a counterfactual.</t>
  </si>
  <si>
    <t xml:space="preserve">Credible quasi-experimental or contribution analysis for at least one major service.</t>
  </si>
  <si>
    <t xml:space="preserve">Counterfactual evidence replicated across seasons, regions or multiple services.</t>
  </si>
  <si>
    <t xml:space="preserve">No evidence of income effects from digital tools.</t>
  </si>
  <si>
    <t xml:space="preserve">No gender-disaggregated adoption data collected or reported for digital advisories.</t>
  </si>
  <si>
    <t xml:space="preserve">Ad hoc gender data collected for one or two services; large gender gap in adoption (&gt;30 percentage points).</t>
  </si>
  <si>
    <t xml:space="preserve">Adoption is monitored by gender across major services; gender gap 15–30 pp is documented and being addressed.</t>
  </si>
  <si>
    <t xml:space="preserve">Gender-inclusive product design routinely applied; adoption gap &lt;15 pp with programmes actively closing it.</t>
  </si>
  <si>
    <t xml:space="preserve">Female adoption at parity with or exceeding male adoption; gender-inclusive design institutionalised across the digital advisory portfolio.</t>
  </si>
  <si>
    <t xml:space="preserve">Name</t>
  </si>
  <si>
    <t xml:space="preserve">Weight</t>
  </si>
  <si>
    <t xml:space="preserve">Aggregated</t>
  </si>
  <si>
    <t xml:space="preserve">Agricultural context &amp; need</t>
  </si>
  <si>
    <t xml:space="preserve">No — context only</t>
  </si>
  <si>
    <t xml:space="preserve">Connectivity &amp; affordable access</t>
  </si>
  <si>
    <t xml:space="preserve">Yes</t>
  </si>
  <si>
    <t xml:space="preserve">Data infrastructure &amp; DPI</t>
  </si>
  <si>
    <t xml:space="preserve">Policy, governance &amp; safeguards</t>
  </si>
  <si>
    <t xml:space="preserve">Human &amp; institutional capacity</t>
  </si>
  <si>
    <t xml:space="preserve">Innovation &amp; private sector</t>
  </si>
  <si>
    <t xml:space="preserve">Responsible AI &amp; emerging tech</t>
  </si>
  <si>
    <t xml:space="preserve">Inclusion, sustainability &amp; outcomes</t>
  </si>
  <si>
    <t xml:space="preserve">Total</t>
  </si>
  <si>
    <t xml:space="preserve">Weights sum to 1.00 within each role family</t>
  </si>
  <si>
    <t xml:space="preserve">Capability (C1-C4)</t>
  </si>
  <si>
    <t xml:space="preserve">Ecosystem (E1-E2)</t>
  </si>
  <si>
    <t xml:space="preserve">Outcome (O1)</t>
  </si>
  <si>
    <t xml:space="preserve">Why it gates</t>
  </si>
  <si>
    <t xml:space="preserve">Prerequisite: at Level 1 it caps the overall stage at Stage 1; unmeasured, it suppresses the stage entirely.</t>
  </si>
  <si>
    <t xml:space="preserve">Maturity bands — half-open and mutually exclusive</t>
  </si>
  <si>
    <t xml:space="preserve">Level</t>
  </si>
  <si>
    <t xml:space="preserve">Band</t>
  </si>
  <si>
    <t xml:space="preserve">From (&gt;=)</t>
  </si>
  <si>
    <t xml:space="preserve">To (&lt;)</t>
  </si>
  <si>
    <t xml:space="preserve">Nascent</t>
  </si>
  <si>
    <t xml:space="preserve">Emerging</t>
  </si>
  <si>
    <t xml:space="preserve">Established</t>
  </si>
  <si>
    <t xml:space="preserve">Advanced</t>
  </si>
  <si>
    <t xml:space="preserve">Transformative</t>
  </si>
  <si>
    <t xml:space="preserve">Coverage gates — below these a score is suppressed rather than computed</t>
  </si>
  <si>
    <t xml:space="preserve">Rule</t>
  </si>
  <si>
    <t xml:space="preserve">Threshold</t>
  </si>
  <si>
    <t xml:space="preserve">Meaning</t>
  </si>
  <si>
    <t xml:space="preserve">pillar_min</t>
  </si>
  <si>
    <t xml:space="preserve">A pillar reads Not rated unless this share of its indicators carry a level.</t>
  </si>
  <si>
    <t xml:space="preserve">cms_min</t>
  </si>
  <si>
    <t xml:space="preserve">Capability coverage required before any overall stage is issued.</t>
  </si>
  <si>
    <t xml:space="preserve">ems_min</t>
  </si>
  <si>
    <t xml:space="preserve">Ecosystem coverage required before EMS is reported.</t>
  </si>
  <si>
    <t xml:space="preserve">evidence_adequacy_min</t>
  </si>
  <si>
    <t xml:space="preserve">Minimum weighted evidence adequacy for a read-out to stand.</t>
  </si>
  <si>
    <t xml:space="preserve">Stage floors — the non-compensatory cascade. A stage is reached only when every floor is met.</t>
  </si>
  <si>
    <t xml:space="preserve">Floor</t>
  </si>
  <si>
    <t xml:space="preserve">stage2_cms</t>
  </si>
  <si>
    <t xml:space="preserve">CMS floor required to be at Stage 2.</t>
  </si>
  <si>
    <t xml:space="preserve">stage3_cms</t>
  </si>
  <si>
    <t xml:space="preserve">CMS floor required to be at Stage 3.</t>
  </si>
  <si>
    <t xml:space="preserve">stage3_ems</t>
  </si>
  <si>
    <t xml:space="preserve">EMS floor required to be at Stage 3.</t>
  </si>
  <si>
    <t xml:space="preserve">stage4_cms</t>
  </si>
  <si>
    <t xml:space="preserve">CMS floor required to be at Stage 4.</t>
  </si>
  <si>
    <t xml:space="preserve">stage4_ems</t>
  </si>
  <si>
    <t xml:space="preserve">EMS floor required to be at Stage 4.</t>
  </si>
  <si>
    <t xml:space="preserve">stage4_oes</t>
  </si>
  <si>
    <t xml:space="preserve">OES floor required to be at Stage 4.</t>
  </si>
  <si>
    <t xml:space="preserve">stage5_cms</t>
  </si>
  <si>
    <t xml:space="preserve">CMS floor required to be at Stage 5.</t>
  </si>
  <si>
    <t xml:space="preserve">stage5_ems</t>
  </si>
  <si>
    <t xml:space="preserve">EMS floor required to be at Stage 5.</t>
  </si>
  <si>
    <t xml:space="preserve">stage5_oes</t>
  </si>
  <si>
    <t xml:space="preserve">OES floor required to be at Stage 5.</t>
  </si>
  <si>
    <t xml:space="preserve">Leapfrog fragility</t>
  </si>
  <si>
    <t xml:space="preserve">leapfrog_gap</t>
  </si>
  <si>
    <t xml:space="preserve">Foundation minus transformation gap above which the assessment is flagged as leapfrog-fragile: advanced applications resting on weak foundations.</t>
  </si>
  <si>
    <t xml:space="preserve">Confidence weights — applied when evidence adequacy is computed</t>
  </si>
  <si>
    <t xml:space="preserve">Confidence</t>
  </si>
  <si>
    <t xml:space="preserve">High</t>
  </si>
  <si>
    <t xml:space="preserve">Per-reading tag set when the reading is recorded.</t>
  </si>
  <si>
    <t xml:space="preserve">Medium</t>
  </si>
  <si>
    <t xml:space="preserve">Low</t>
  </si>
  <si>
    <t xml:space="preserve">Data Gap</t>
  </si>
  <si>
    <t xml:space="preserve">A Data Gap is recorded and weighted zero, rather than left blank.</t>
  </si>
  <si>
    <t xml:space="preserve">Step</t>
  </si>
  <si>
    <t xml:space="preserve">Executor</t>
  </si>
  <si>
    <t xml:space="preserve">Output</t>
  </si>
  <si>
    <t xml:space="preserve">What happens</t>
  </si>
  <si>
    <t xml:space="preserve">Populate indicators</t>
  </si>
  <si>
    <t xml:space="preserve">Machine (+ assessor for qualitative)</t>
  </si>
  <si>
    <t xml:space="preserve">Populated workbook: 102 indicators with value, source name, source URL, year</t>
  </si>
  <si>
    <t xml:space="preserve">Populate all 102 indicators. Quantitative indicators score themselves via the numeric-threshold rule on the Indicators sheet. Qualitative indicators are scored 1–5 by the assessor against the Qualitative Anchors sheet; the machine may propose a level, but the assessor level always wins. Every reading records source name, source URL, and observation year.</t>
  </si>
  <si>
    <t xml:space="preserve">Score evidence quality</t>
  </si>
  <si>
    <t xml:space="preserve">Machine (automated)</t>
  </si>
  <si>
    <t xml:space="preserve">Evidence Quality Index per pillar; refresh list; verify list</t>
  </si>
  <si>
    <t xml:space="preserve">For each reading, tag confidence High / Medium / Low / Data Gap. Staleness is automatic (year vs indicator max age). Coverage per pillar is automatic. Weighted evidence adequacy per read-out is automatic. All five feed a single Evidence Quality Index (green / amber / red) per pillar, plus two underlying lists: Refresh (stale readings + Low-confidence readings) and Verify (data gaps + unmeasured core gates).</t>
  </si>
  <si>
    <t xml:space="preserve">Compile diagnostic package</t>
  </si>
  <si>
    <t xml:space="preserve">Diagnostic Package (PDF) handed to TTL</t>
  </si>
  <si>
    <t xml:space="preserve">Render the Diagnostic Package sheet: three read-outs (CMS/EMS/OES), provisional stage with caveat, core-gate audit (14 prerequisites), top binding constraints by pillar, Refresh list, Verify list, and the full 102-indicator appendix with source, year, confidence. Export as PDF. This is the single artefact handed to the TTL.</t>
  </si>
  <si>
    <t xml:space="preserve">Draft the DAR offline</t>
  </si>
  <si>
    <t xml:space="preserve">TTL + team, post-mandate</t>
  </si>
  <si>
    <t xml:space="preserve">The DAR</t>
  </si>
  <si>
    <t xml:space="preserve">The TTL and team draft the DAR offline, after the government mandate, drawing on the Diagnostic Package as evidence. This workbook is an input to that process, not part of it. The DAR is authored, validated with the steering committee, adopted and disclosed under the DAR methodology, which is separate from this workbook.</t>
  </si>
  <si>
    <t xml:space="preserve">Where the mandate sits</t>
  </si>
  <si>
    <t xml:space="preserve">The government mandate does not gate the workbook. Steps 1–3 can run on public evidence at any time and produce a diagnostic package for internal Bank use. The mandate gates the DAR: nothing is called a DAR before the government has mandated the work. The Diagnostic Package is watermarked accordingly.</t>
  </si>
  <si>
    <t xml:space="preserve">Term</t>
  </si>
  <si>
    <t xml:space="preserve">Definition</t>
  </si>
  <si>
    <t xml:space="preserve">CMS</t>
  </si>
  <si>
    <t xml:space="preserve">Capability Maturity Score</t>
  </si>
  <si>
    <t xml:space="preserve">Weighted mean of C1–C4 pillar levels (25/30/25/20). Reported 1–5.</t>
  </si>
  <si>
    <t xml:space="preserve">EMS</t>
  </si>
  <si>
    <t xml:space="preserve">Ecosystem Maturity Score</t>
  </si>
  <si>
    <t xml:space="preserve">Weighted mean of E1 (70%) and E2 (30%) pillars.</t>
  </si>
  <si>
    <t xml:space="preserve">OES</t>
  </si>
  <si>
    <t xml:space="preserve">Outcome &amp; Equity Score</t>
  </si>
  <si>
    <t xml:space="preserve">O1 pillar mean level. Deliberately kept separate from CMS/EMS.</t>
  </si>
  <si>
    <t xml:space="preserve">Stage</t>
  </si>
  <si>
    <t xml:space="preserve">Overall stage</t>
  </si>
  <si>
    <t xml:space="preserve">Stage 1 (Foundation constrained) through Stage 5 (Transformative). Derived non-compensatively from CMS/EMS/OES subject to core-gate and coverage rules.</t>
  </si>
  <si>
    <t xml:space="preserve">Core-gate indicator</t>
  </si>
  <si>
    <t xml:space="preserve">14 foundational indicators treated as prerequisites, not points. L1 caps the stage at 1; unmeasured suppresses the stage entirely.</t>
  </si>
  <si>
    <t xml:space="preserve">Coverage</t>
  </si>
  <si>
    <t xml:space="preserve">Coverage gate</t>
  </si>
  <si>
    <t xml:space="preserve">Share of a pillar's indicators that carry an assigned level. Below 60% the pillar reads Not rated; a composite containing an unrated pillar is also suppressed.</t>
  </si>
  <si>
    <t xml:space="preserve">Confidence weight</t>
  </si>
  <si>
    <t xml:space="preserve">High=1.0, Medium=0.6, Low=0.3. Used to compute Weighted Evidence Adequacy.</t>
  </si>
  <si>
    <t xml:space="preserve">Adequacy</t>
  </si>
  <si>
    <t xml:space="preserve">Weighted evidence adequacy</t>
  </si>
  <si>
    <t xml:space="preserve">Confidence-weighted share of scored indicators. Must clear 0.5 for the read-out to stand.</t>
  </si>
  <si>
    <t xml:space="preserve">Stale</t>
  </si>
  <si>
    <t xml:space="preserve">Stale evidence</t>
  </si>
  <si>
    <t xml:space="preserve">A reading whose observation year is older than the indicator's max age (2 or 3 years).</t>
  </si>
  <si>
    <t xml:space="preserve">No assessor level and no machine level. Excluded from scoring, reported separately.</t>
  </si>
  <si>
    <t xml:space="preserve">Provisional</t>
  </si>
  <si>
    <t xml:space="preserve">Provisional level</t>
  </si>
  <si>
    <t xml:space="preserve">A level derived by machine from a threshold rule, not yet confirmed by an assessor.</t>
  </si>
  <si>
    <t xml:space="preserve">Engagement package</t>
  </si>
  <si>
    <t xml:space="preserve">Everything assembled before the government mandate. No stage is claimable however complete the evidence looks.</t>
  </si>
</sst>
</file>

<file path=xl/styles.xml><?xml version="1.0" encoding="utf-8"?>
<styleSheet xmlns="http://schemas.openxmlformats.org/spreadsheetml/2006/main">
  <numFmts count="2">
    <numFmt numFmtId="164" formatCode="General"/>
    <numFmt numFmtId="165" formatCode="0%"/>
  </numFmts>
  <fonts count="10">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b val="true"/>
      <sz val="10"/>
      <color rgb="FF1F5C3D"/>
      <name val="Arial"/>
      <family val="0"/>
      <charset val="1"/>
    </font>
    <font>
      <sz val="10"/>
      <color rgb="FF212B24"/>
      <name val="Arial"/>
      <family val="0"/>
      <charset val="1"/>
    </font>
    <font>
      <b val="true"/>
      <sz val="11"/>
      <color rgb="FF1F5C3D"/>
      <name val="Arial"/>
      <family val="0"/>
      <charset val="1"/>
    </font>
    <font>
      <b val="true"/>
      <sz val="10"/>
      <color rgb="FF212B24"/>
      <name val="Arial"/>
      <family val="0"/>
      <charset val="1"/>
    </font>
    <font>
      <b val="true"/>
      <sz val="10"/>
      <color rgb="FF8A5A2B"/>
      <name val="Arial"/>
      <family val="0"/>
      <charset val="1"/>
    </font>
  </fonts>
  <fills count="5">
    <fill>
      <patternFill patternType="none"/>
    </fill>
    <fill>
      <patternFill patternType="gray125"/>
    </fill>
    <fill>
      <patternFill patternType="solid">
        <fgColor rgb="FF1F5C3D"/>
        <bgColor rgb="FF003366"/>
      </patternFill>
    </fill>
    <fill>
      <patternFill patternType="solid">
        <fgColor rgb="FFEFF3EC"/>
        <bgColor rgb="FFFFF4E0"/>
      </patternFill>
    </fill>
    <fill>
      <patternFill patternType="solid">
        <fgColor rgb="FFFFF4E0"/>
        <bgColor rgb="FFEFF3EC"/>
      </patternFill>
    </fill>
  </fills>
  <borders count="2">
    <border diagonalUp="false" diagonalDown="false">
      <left/>
      <right/>
      <top/>
      <bottom/>
      <diagonal/>
    </border>
    <border diagonalUp="false" diagonalDown="false">
      <left style="thin">
        <color rgb="FFDCE1D8"/>
      </left>
      <right style="thin">
        <color rgb="FFDCE1D8"/>
      </right>
      <top style="thin">
        <color rgb="FFDCE1D8"/>
      </top>
      <bottom style="thin">
        <color rgb="FFDCE1D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fals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false" indent="0" shrinkToFit="false"/>
      <protection locked="true" hidden="false"/>
    </xf>
    <xf numFmtId="165" fontId="6"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EFF3EC"/>
          <bgColor rgb="FF000000"/>
        </patternFill>
      </fill>
    </dxf>
    <dxf>
      <fill>
        <patternFill patternType="solid">
          <fgColor rgb="FFFFF4E0"/>
          <bgColor rgb="FF000000"/>
        </patternFill>
      </fill>
    </dxf>
    <dxf>
      <fill>
        <patternFill patternType="solid">
          <bgColor rgb="FF000000"/>
        </patternFill>
      </fill>
    </dxf>
    <dxf>
      <fill>
        <patternFill patternType="solid">
          <fgColor rgb="FF1F5C3D"/>
          <bgColor rgb="FF000000"/>
        </patternFill>
      </fill>
    </dxf>
    <dxf>
      <fill>
        <patternFill patternType="solid">
          <fgColor rgb="FF212B24"/>
          <bgColor rgb="FF000000"/>
        </patternFill>
      </fill>
    </dxf>
    <dxf>
      <fill>
        <patternFill patternType="solid">
          <fgColor rgb="FF8A5A2B"/>
          <bgColor rgb="FF000000"/>
        </patternFill>
      </fill>
    </dxf>
  </dxfs>
  <colors>
    <indexedColors>
      <rgbColor rgb="FF000000"/>
      <rgbColor rgb="FFFFFFFF"/>
      <rgbColor rgb="FFFF0000"/>
      <rgbColor rgb="FF00FF00"/>
      <rgbColor rgb="FF0000FF"/>
      <rgbColor rgb="FFFFFF00"/>
      <rgbColor rgb="FFFF00FF"/>
      <rgbColor rgb="FF00FFFF"/>
      <rgbColor rgb="FF800000"/>
      <rgbColor rgb="FF1F5C3D"/>
      <rgbColor rgb="FF000080"/>
      <rgbColor rgb="FF8A5A2B"/>
      <rgbColor rgb="FF800080"/>
      <rgbColor rgb="FF008080"/>
      <rgbColor rgb="FFC0C0C0"/>
      <rgbColor rgb="FF808080"/>
      <rgbColor rgb="FF9999FF"/>
      <rgbColor rgb="FF993366"/>
      <rgbColor rgb="FFFFF4E0"/>
      <rgbColor rgb="FFEFF3EC"/>
      <rgbColor rgb="FF660066"/>
      <rgbColor rgb="FFFF8080"/>
      <rgbColor rgb="FF0066CC"/>
      <rgbColor rgb="FFDCE1D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12B2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108"/>
  </cols>
  <sheetData>
    <row r="1" customFormat="false" ht="30" hidden="false" customHeight="true" outlineLevel="0" collapsed="false">
      <c r="A1" s="1" t="s">
        <v>0</v>
      </c>
      <c r="B1" s="1"/>
    </row>
    <row r="3" customFormat="false" ht="15" hidden="false" customHeight="false" outlineLevel="0" collapsed="false">
      <c r="A3" s="2" t="s">
        <v>1</v>
      </c>
      <c r="B3" s="3" t="s">
        <v>2</v>
      </c>
    </row>
    <row r="4" customFormat="false" ht="15" hidden="false" customHeight="false" outlineLevel="0" collapsed="false">
      <c r="A4" s="2" t="s">
        <v>3</v>
      </c>
      <c r="B4" s="3" t="s">
        <v>4</v>
      </c>
    </row>
    <row r="5" customFormat="false" ht="15" hidden="false" customHeight="false" outlineLevel="0" collapsed="false">
      <c r="A5" s="2" t="s">
        <v>5</v>
      </c>
      <c r="B5" s="3" t="n">
        <v>2026</v>
      </c>
    </row>
    <row r="6" customFormat="false" ht="15" hidden="false" customHeight="false" outlineLevel="0" collapsed="false">
      <c r="A6" s="2" t="s">
        <v>6</v>
      </c>
      <c r="B6" s="3" t="s">
        <v>7</v>
      </c>
    </row>
    <row r="7" customFormat="false" ht="15" hidden="false" customHeight="false" outlineLevel="0" collapsed="false">
      <c r="A7" s="2" t="s">
        <v>8</v>
      </c>
      <c r="B7" s="3" t="n">
        <f aca="false">COUNTA(Indicators!A2:A200)</f>
        <v>102</v>
      </c>
    </row>
    <row r="8" customFormat="false" ht="15" hidden="false" customHeight="false" outlineLevel="0" collapsed="false">
      <c r="A8" s="2" t="s">
        <v>9</v>
      </c>
      <c r="B8" s="3" t="n">
        <f aca="false">COUNTIF(Pillars!$C$2:$C$50,"Context")+COUNTIF(Pillars!$C$2:$C$50,"Capability")+COUNTIF(Pillars!$C$2:$C$50,"Ecosystem")+COUNTIF(Pillars!$C$2:$C$50,"Outcome")</f>
        <v>8</v>
      </c>
    </row>
    <row r="9" customFormat="false" ht="15" hidden="false" customHeight="false" outlineLevel="0" collapsed="false">
      <c r="A9" s="2" t="s">
        <v>10</v>
      </c>
      <c r="B9" s="3" t="n">
        <f aca="false">COUNTA('Core gates'!A2:A50)</f>
        <v>14</v>
      </c>
    </row>
    <row r="10" customFormat="false" ht="15" hidden="false" customHeight="false" outlineLevel="0" collapsed="false">
      <c r="A10" s="2" t="s">
        <v>11</v>
      </c>
      <c r="B10" s="3" t="n">
        <f aca="false">COUNTA('Process ladder'!A2:A50)</f>
        <v>4</v>
      </c>
    </row>
    <row r="12" customFormat="false" ht="15" hidden="false" customHeight="false" outlineLevel="0" collapsed="false">
      <c r="A12" s="4" t="s">
        <v>12</v>
      </c>
    </row>
    <row r="13" customFormat="false" ht="15" hidden="false" customHeight="false" outlineLevel="0" collapsed="false">
      <c r="A13" s="5" t="n">
        <v>1</v>
      </c>
      <c r="B13" s="3" t="s">
        <v>13</v>
      </c>
    </row>
    <row r="14" customFormat="false" ht="15" hidden="false" customHeight="false" outlineLevel="0" collapsed="false">
      <c r="A14" s="5" t="n">
        <v>2</v>
      </c>
      <c r="B14" s="3" t="s">
        <v>14</v>
      </c>
    </row>
    <row r="15" customFormat="false" ht="15" hidden="false" customHeight="false" outlineLevel="0" collapsed="false">
      <c r="A15" s="5" t="n">
        <v>3</v>
      </c>
      <c r="B15" s="3" t="s">
        <v>15</v>
      </c>
    </row>
    <row r="16" customFormat="false" ht="15" hidden="false" customHeight="false" outlineLevel="0" collapsed="false">
      <c r="A16" s="5" t="n">
        <v>4</v>
      </c>
      <c r="B16" s="3" t="s">
        <v>16</v>
      </c>
    </row>
    <row r="18" customFormat="false" ht="15" hidden="false" customHeight="false" outlineLevel="0" collapsed="false">
      <c r="A18" s="4" t="s">
        <v>17</v>
      </c>
    </row>
    <row r="19" customFormat="false" ht="15" hidden="false" customHeight="false" outlineLevel="0" collapsed="false">
      <c r="A19" s="6" t="s">
        <v>8</v>
      </c>
      <c r="B19" s="3" t="s">
        <v>18</v>
      </c>
    </row>
    <row r="20" customFormat="false" ht="15" hidden="false" customHeight="false" outlineLevel="0" collapsed="false">
      <c r="A20" s="6" t="s">
        <v>19</v>
      </c>
      <c r="B20" s="3" t="s">
        <v>20</v>
      </c>
    </row>
    <row r="21" customFormat="false" ht="15" hidden="false" customHeight="false" outlineLevel="0" collapsed="false">
      <c r="A21" s="6" t="s">
        <v>9</v>
      </c>
      <c r="B21" s="3" t="s">
        <v>21</v>
      </c>
    </row>
    <row r="22" customFormat="false" ht="15" hidden="false" customHeight="false" outlineLevel="0" collapsed="false">
      <c r="A22" s="6" t="s">
        <v>10</v>
      </c>
      <c r="B22" s="3" t="s">
        <v>22</v>
      </c>
    </row>
    <row r="23" customFormat="false" ht="15" hidden="false" customHeight="false" outlineLevel="0" collapsed="false">
      <c r="A23" s="6" t="s">
        <v>23</v>
      </c>
      <c r="B23" s="3" t="s">
        <v>24</v>
      </c>
    </row>
    <row r="24" customFormat="false" ht="15" hidden="false" customHeight="false" outlineLevel="0" collapsed="false">
      <c r="A24" s="6" t="s">
        <v>25</v>
      </c>
      <c r="B24" s="3" t="s">
        <v>26</v>
      </c>
    </row>
    <row r="25" customFormat="false" ht="15" hidden="false" customHeight="false" outlineLevel="0" collapsed="false">
      <c r="A25" s="6" t="s">
        <v>27</v>
      </c>
      <c r="B25" s="3" t="s">
        <v>28</v>
      </c>
    </row>
    <row r="27" customFormat="false" ht="15" hidden="false" customHeight="false" outlineLevel="0" collapsed="false">
      <c r="A27" s="4" t="s">
        <v>29</v>
      </c>
    </row>
    <row r="28" customFormat="false" ht="23.85" hidden="false" customHeight="false" outlineLevel="0" collapsed="false">
      <c r="B28" s="3" t="s">
        <v>30</v>
      </c>
    </row>
    <row r="29" customFormat="false" ht="15" hidden="false" customHeight="false" outlineLevel="0" collapsed="false">
      <c r="B29" s="3" t="s">
        <v>31</v>
      </c>
    </row>
    <row r="30" customFormat="false" ht="23.85" hidden="false" customHeight="false" outlineLevel="0" collapsed="false">
      <c r="B30" s="3" t="s">
        <v>32</v>
      </c>
    </row>
    <row r="31" customFormat="false" ht="15" hidden="false" customHeight="false" outlineLevel="0" collapsed="false">
      <c r="B31" s="3" t="s">
        <v>33</v>
      </c>
    </row>
  </sheetData>
  <mergeCells count="1">
    <mergeCell ref="A1:B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2" min="2" style="0" width="48"/>
    <col collapsed="false" customWidth="true" hidden="false" outlineLevel="0" max="3" min="3" style="0" width="7"/>
    <col collapsed="false" customWidth="true" hidden="false" outlineLevel="0" max="4" min="4" style="0" width="26"/>
    <col collapsed="false" customWidth="true" hidden="false" outlineLevel="0" max="5" min="5" style="0" width="12"/>
    <col collapsed="false" customWidth="true" hidden="false" outlineLevel="0" max="6" min="6" style="0" width="9"/>
    <col collapsed="false" customWidth="true" hidden="false" outlineLevel="0" max="7" min="7" style="0" width="24"/>
    <col collapsed="false" customWidth="true" hidden="false" outlineLevel="0" max="9" min="8" style="0" width="10"/>
    <col collapsed="false" customWidth="true" hidden="false" outlineLevel="0" max="10" min="10" style="0" width="12"/>
    <col collapsed="false" customWidth="true" hidden="false" outlineLevel="0" max="14" min="11" style="0" width="9"/>
    <col collapsed="false" customWidth="true" hidden="false" outlineLevel="0" max="15" min="15" style="0" width="34"/>
  </cols>
  <sheetData>
    <row r="1" customFormat="false" ht="23.85" hidden="false" customHeight="false" outlineLevel="0" collapsed="false">
      <c r="A1" s="7" t="s">
        <v>34</v>
      </c>
      <c r="B1" s="7" t="s">
        <v>35</v>
      </c>
      <c r="C1" s="7" t="s">
        <v>36</v>
      </c>
      <c r="D1" s="7" t="s">
        <v>37</v>
      </c>
      <c r="E1" s="7" t="s">
        <v>38</v>
      </c>
      <c r="F1" s="7" t="s">
        <v>39</v>
      </c>
      <c r="G1" s="7" t="s">
        <v>40</v>
      </c>
      <c r="H1" s="7" t="s">
        <v>41</v>
      </c>
      <c r="I1" s="7" t="s">
        <v>42</v>
      </c>
      <c r="J1" s="7" t="s">
        <v>43</v>
      </c>
      <c r="K1" s="7" t="s">
        <v>44</v>
      </c>
      <c r="L1" s="7" t="s">
        <v>45</v>
      </c>
      <c r="M1" s="7" t="s">
        <v>46</v>
      </c>
      <c r="N1" s="7" t="s">
        <v>47</v>
      </c>
      <c r="O1" s="7" t="s">
        <v>3</v>
      </c>
    </row>
    <row r="2" customFormat="false" ht="23.85" hidden="false" customHeight="false" outlineLevel="0" collapsed="false">
      <c r="A2" s="8" t="s">
        <v>48</v>
      </c>
      <c r="B2" s="9" t="s">
        <v>49</v>
      </c>
      <c r="C2" s="8" t="s">
        <v>50</v>
      </c>
      <c r="D2" s="9" t="s">
        <v>51</v>
      </c>
      <c r="E2" s="8" t="s">
        <v>52</v>
      </c>
      <c r="F2" s="8" t="s">
        <v>53</v>
      </c>
      <c r="G2" s="9" t="s">
        <v>54</v>
      </c>
      <c r="H2" s="8" t="s">
        <v>55</v>
      </c>
      <c r="I2" s="8"/>
      <c r="J2" s="8" t="n">
        <v>3</v>
      </c>
      <c r="K2" s="8"/>
      <c r="L2" s="8"/>
      <c r="M2" s="8"/>
      <c r="N2" s="8"/>
      <c r="O2" s="9" t="s">
        <v>56</v>
      </c>
    </row>
    <row r="3" customFormat="false" ht="23.85" hidden="false" customHeight="false" outlineLevel="0" collapsed="false">
      <c r="A3" s="8" t="s">
        <v>57</v>
      </c>
      <c r="B3" s="9" t="s">
        <v>58</v>
      </c>
      <c r="C3" s="8" t="s">
        <v>50</v>
      </c>
      <c r="D3" s="9" t="s">
        <v>51</v>
      </c>
      <c r="E3" s="8" t="s">
        <v>52</v>
      </c>
      <c r="F3" s="8" t="s">
        <v>53</v>
      </c>
      <c r="G3" s="9" t="s">
        <v>54</v>
      </c>
      <c r="H3" s="8" t="s">
        <v>55</v>
      </c>
      <c r="I3" s="8"/>
      <c r="J3" s="8" t="n">
        <v>3</v>
      </c>
      <c r="K3" s="8"/>
      <c r="L3" s="8"/>
      <c r="M3" s="8"/>
      <c r="N3" s="8"/>
      <c r="O3" s="9" t="s">
        <v>56</v>
      </c>
    </row>
    <row r="4" customFormat="false" ht="23.85" hidden="false" customHeight="false" outlineLevel="0" collapsed="false">
      <c r="A4" s="8" t="s">
        <v>59</v>
      </c>
      <c r="B4" s="9" t="s">
        <v>60</v>
      </c>
      <c r="C4" s="8" t="s">
        <v>50</v>
      </c>
      <c r="D4" s="9" t="s">
        <v>51</v>
      </c>
      <c r="E4" s="8" t="s">
        <v>52</v>
      </c>
      <c r="F4" s="8" t="s">
        <v>53</v>
      </c>
      <c r="G4" s="9" t="s">
        <v>54</v>
      </c>
      <c r="H4" s="8" t="s">
        <v>55</v>
      </c>
      <c r="I4" s="8"/>
      <c r="J4" s="8" t="n">
        <v>3</v>
      </c>
      <c r="K4" s="8"/>
      <c r="L4" s="8"/>
      <c r="M4" s="8"/>
      <c r="N4" s="8"/>
      <c r="O4" s="9" t="s">
        <v>56</v>
      </c>
    </row>
    <row r="5" customFormat="false" ht="23.85" hidden="false" customHeight="false" outlineLevel="0" collapsed="false">
      <c r="A5" s="8" t="s">
        <v>61</v>
      </c>
      <c r="B5" s="9" t="s">
        <v>62</v>
      </c>
      <c r="C5" s="8" t="s">
        <v>50</v>
      </c>
      <c r="D5" s="9" t="s">
        <v>51</v>
      </c>
      <c r="E5" s="8" t="s">
        <v>52</v>
      </c>
      <c r="F5" s="8" t="s">
        <v>53</v>
      </c>
      <c r="G5" s="9" t="s">
        <v>54</v>
      </c>
      <c r="H5" s="8" t="s">
        <v>55</v>
      </c>
      <c r="I5" s="8"/>
      <c r="J5" s="8" t="n">
        <v>3</v>
      </c>
      <c r="K5" s="8"/>
      <c r="L5" s="8"/>
      <c r="M5" s="8"/>
      <c r="N5" s="8"/>
      <c r="O5" s="9" t="s">
        <v>56</v>
      </c>
    </row>
    <row r="6" customFormat="false" ht="23.85" hidden="false" customHeight="false" outlineLevel="0" collapsed="false">
      <c r="A6" s="8" t="s">
        <v>63</v>
      </c>
      <c r="B6" s="9" t="s">
        <v>64</v>
      </c>
      <c r="C6" s="8" t="s">
        <v>50</v>
      </c>
      <c r="D6" s="9" t="s">
        <v>51</v>
      </c>
      <c r="E6" s="8" t="s">
        <v>52</v>
      </c>
      <c r="F6" s="8" t="s">
        <v>65</v>
      </c>
      <c r="G6" s="9" t="s">
        <v>54</v>
      </c>
      <c r="H6" s="8" t="s">
        <v>55</v>
      </c>
      <c r="I6" s="8"/>
      <c r="J6" s="8" t="n">
        <v>2</v>
      </c>
      <c r="K6" s="8"/>
      <c r="L6" s="8"/>
      <c r="M6" s="8"/>
      <c r="N6" s="8"/>
      <c r="O6" s="9" t="s">
        <v>56</v>
      </c>
    </row>
    <row r="7" customFormat="false" ht="23.85" hidden="false" customHeight="false" outlineLevel="0" collapsed="false">
      <c r="A7" s="8" t="s">
        <v>66</v>
      </c>
      <c r="B7" s="9" t="s">
        <v>67</v>
      </c>
      <c r="C7" s="8" t="s">
        <v>50</v>
      </c>
      <c r="D7" s="9" t="s">
        <v>51</v>
      </c>
      <c r="E7" s="8" t="s">
        <v>52</v>
      </c>
      <c r="F7" s="8" t="s">
        <v>65</v>
      </c>
      <c r="G7" s="9" t="s">
        <v>54</v>
      </c>
      <c r="H7" s="8" t="s">
        <v>55</v>
      </c>
      <c r="I7" s="8"/>
      <c r="J7" s="8" t="n">
        <v>2</v>
      </c>
      <c r="K7" s="8"/>
      <c r="L7" s="8"/>
      <c r="M7" s="8"/>
      <c r="N7" s="8"/>
      <c r="O7" s="9" t="s">
        <v>56</v>
      </c>
    </row>
    <row r="8" customFormat="false" ht="23.85" hidden="false" customHeight="false" outlineLevel="0" collapsed="false">
      <c r="A8" s="8" t="s">
        <v>68</v>
      </c>
      <c r="B8" s="9" t="s">
        <v>69</v>
      </c>
      <c r="C8" s="8" t="s">
        <v>50</v>
      </c>
      <c r="D8" s="9" t="s">
        <v>51</v>
      </c>
      <c r="E8" s="8" t="s">
        <v>52</v>
      </c>
      <c r="F8" s="8" t="s">
        <v>65</v>
      </c>
      <c r="G8" s="9" t="s">
        <v>54</v>
      </c>
      <c r="H8" s="8" t="s">
        <v>55</v>
      </c>
      <c r="I8" s="8"/>
      <c r="J8" s="8" t="n">
        <v>2</v>
      </c>
      <c r="K8" s="8"/>
      <c r="L8" s="8"/>
      <c r="M8" s="8"/>
      <c r="N8" s="8"/>
      <c r="O8" s="9" t="s">
        <v>56</v>
      </c>
    </row>
    <row r="9" customFormat="false" ht="23.85" hidden="false" customHeight="false" outlineLevel="0" collapsed="false">
      <c r="A9" s="8" t="s">
        <v>70</v>
      </c>
      <c r="B9" s="9" t="s">
        <v>71</v>
      </c>
      <c r="C9" s="8" t="s">
        <v>50</v>
      </c>
      <c r="D9" s="9" t="s">
        <v>51</v>
      </c>
      <c r="E9" s="8" t="s">
        <v>52</v>
      </c>
      <c r="F9" s="8" t="s">
        <v>65</v>
      </c>
      <c r="G9" s="9" t="s">
        <v>54</v>
      </c>
      <c r="H9" s="8" t="s">
        <v>55</v>
      </c>
      <c r="I9" s="8"/>
      <c r="J9" s="8" t="n">
        <v>2</v>
      </c>
      <c r="K9" s="8"/>
      <c r="L9" s="8"/>
      <c r="M9" s="8"/>
      <c r="N9" s="8"/>
      <c r="O9" s="9" t="s">
        <v>56</v>
      </c>
    </row>
    <row r="10" customFormat="false" ht="23.85" hidden="false" customHeight="false" outlineLevel="0" collapsed="false">
      <c r="A10" s="8" t="s">
        <v>72</v>
      </c>
      <c r="B10" s="9" t="s">
        <v>73</v>
      </c>
      <c r="C10" s="8" t="s">
        <v>74</v>
      </c>
      <c r="D10" s="9" t="s">
        <v>75</v>
      </c>
      <c r="E10" s="8" t="s">
        <v>76</v>
      </c>
      <c r="F10" s="8" t="s">
        <v>65</v>
      </c>
      <c r="G10" s="9" t="s">
        <v>77</v>
      </c>
      <c r="H10" s="8" t="s">
        <v>55</v>
      </c>
      <c r="I10" s="8"/>
      <c r="J10" s="8" t="n">
        <v>2</v>
      </c>
      <c r="K10" s="8"/>
      <c r="L10" s="8"/>
      <c r="M10" s="8"/>
      <c r="N10" s="8"/>
      <c r="O10" s="9" t="s">
        <v>78</v>
      </c>
    </row>
    <row r="11" customFormat="false" ht="23.85" hidden="false" customHeight="false" outlineLevel="0" collapsed="false">
      <c r="A11" s="10" t="s">
        <v>79</v>
      </c>
      <c r="B11" s="11" t="s">
        <v>80</v>
      </c>
      <c r="C11" s="10" t="s">
        <v>81</v>
      </c>
      <c r="D11" s="11" t="s">
        <v>82</v>
      </c>
      <c r="E11" s="10" t="s">
        <v>76</v>
      </c>
      <c r="F11" s="10" t="s">
        <v>53</v>
      </c>
      <c r="G11" s="11" t="s">
        <v>83</v>
      </c>
      <c r="H11" s="10" t="s">
        <v>84</v>
      </c>
      <c r="I11" s="12" t="s">
        <v>85</v>
      </c>
      <c r="J11" s="10" t="n">
        <v>3</v>
      </c>
      <c r="K11" s="10" t="n">
        <v>20</v>
      </c>
      <c r="L11" s="10" t="n">
        <v>40</v>
      </c>
      <c r="M11" s="10" t="n">
        <v>60</v>
      </c>
      <c r="N11" s="10" t="n">
        <v>80</v>
      </c>
      <c r="O11" s="11" t="s">
        <v>86</v>
      </c>
    </row>
    <row r="12" customFormat="false" ht="23.85" hidden="false" customHeight="false" outlineLevel="0" collapsed="false">
      <c r="A12" s="8" t="s">
        <v>87</v>
      </c>
      <c r="B12" s="9" t="s">
        <v>88</v>
      </c>
      <c r="C12" s="8" t="s">
        <v>81</v>
      </c>
      <c r="D12" s="9" t="s">
        <v>82</v>
      </c>
      <c r="E12" s="8" t="s">
        <v>76</v>
      </c>
      <c r="F12" s="8" t="s">
        <v>53</v>
      </c>
      <c r="G12" s="9" t="s">
        <v>83</v>
      </c>
      <c r="H12" s="8" t="s">
        <v>84</v>
      </c>
      <c r="I12" s="8"/>
      <c r="J12" s="8" t="n">
        <v>3</v>
      </c>
      <c r="K12" s="8" t="n">
        <v>20</v>
      </c>
      <c r="L12" s="8" t="n">
        <v>40</v>
      </c>
      <c r="M12" s="8" t="n">
        <v>60</v>
      </c>
      <c r="N12" s="8" t="n">
        <v>80</v>
      </c>
      <c r="O12" s="9" t="s">
        <v>86</v>
      </c>
    </row>
    <row r="13" customFormat="false" ht="23.85" hidden="false" customHeight="false" outlineLevel="0" collapsed="false">
      <c r="A13" s="8" t="s">
        <v>89</v>
      </c>
      <c r="B13" s="9" t="s">
        <v>90</v>
      </c>
      <c r="C13" s="8" t="s">
        <v>81</v>
      </c>
      <c r="D13" s="9" t="s">
        <v>82</v>
      </c>
      <c r="E13" s="8" t="s">
        <v>76</v>
      </c>
      <c r="F13" s="8" t="s">
        <v>53</v>
      </c>
      <c r="G13" s="9" t="s">
        <v>83</v>
      </c>
      <c r="H13" s="8" t="s">
        <v>84</v>
      </c>
      <c r="I13" s="8"/>
      <c r="J13" s="8" t="n">
        <v>3</v>
      </c>
      <c r="K13" s="8" t="n">
        <v>20</v>
      </c>
      <c r="L13" s="8" t="n">
        <v>40</v>
      </c>
      <c r="M13" s="8" t="n">
        <v>70</v>
      </c>
      <c r="N13" s="8" t="n">
        <v>100</v>
      </c>
      <c r="O13" s="9" t="s">
        <v>86</v>
      </c>
    </row>
    <row r="14" customFormat="false" ht="23.85" hidden="false" customHeight="false" outlineLevel="0" collapsed="false">
      <c r="A14" s="8" t="s">
        <v>91</v>
      </c>
      <c r="B14" s="9" t="s">
        <v>92</v>
      </c>
      <c r="C14" s="8" t="s">
        <v>81</v>
      </c>
      <c r="D14" s="9" t="s">
        <v>82</v>
      </c>
      <c r="E14" s="8" t="s">
        <v>76</v>
      </c>
      <c r="F14" s="8" t="s">
        <v>53</v>
      </c>
      <c r="G14" s="9" t="s">
        <v>83</v>
      </c>
      <c r="H14" s="8" t="s">
        <v>84</v>
      </c>
      <c r="I14" s="8"/>
      <c r="J14" s="8" t="n">
        <v>3</v>
      </c>
      <c r="K14" s="8" t="n">
        <v>20</v>
      </c>
      <c r="L14" s="8" t="n">
        <v>40</v>
      </c>
      <c r="M14" s="8" t="n">
        <v>60</v>
      </c>
      <c r="N14" s="8" t="n">
        <v>80</v>
      </c>
      <c r="O14" s="9" t="s">
        <v>86</v>
      </c>
    </row>
    <row r="15" customFormat="false" ht="23.85" hidden="false" customHeight="false" outlineLevel="0" collapsed="false">
      <c r="A15" s="10" t="s">
        <v>93</v>
      </c>
      <c r="B15" s="11" t="s">
        <v>94</v>
      </c>
      <c r="C15" s="10" t="s">
        <v>81</v>
      </c>
      <c r="D15" s="11" t="s">
        <v>82</v>
      </c>
      <c r="E15" s="10" t="s">
        <v>76</v>
      </c>
      <c r="F15" s="10" t="s">
        <v>53</v>
      </c>
      <c r="G15" s="11" t="s">
        <v>83</v>
      </c>
      <c r="H15" s="10" t="s">
        <v>95</v>
      </c>
      <c r="I15" s="12" t="s">
        <v>85</v>
      </c>
      <c r="J15" s="10" t="n">
        <v>3</v>
      </c>
      <c r="K15" s="10" t="n">
        <v>10</v>
      </c>
      <c r="L15" s="10" t="n">
        <v>5</v>
      </c>
      <c r="M15" s="10" t="n">
        <v>2</v>
      </c>
      <c r="N15" s="10" t="n">
        <v>1</v>
      </c>
      <c r="O15" s="11" t="s">
        <v>86</v>
      </c>
    </row>
    <row r="16" customFormat="false" ht="23.85" hidden="false" customHeight="false" outlineLevel="0" collapsed="false">
      <c r="A16" s="8" t="s">
        <v>96</v>
      </c>
      <c r="B16" s="9" t="s">
        <v>97</v>
      </c>
      <c r="C16" s="8" t="s">
        <v>81</v>
      </c>
      <c r="D16" s="9" t="s">
        <v>82</v>
      </c>
      <c r="E16" s="8" t="s">
        <v>76</v>
      </c>
      <c r="F16" s="8" t="s">
        <v>53</v>
      </c>
      <c r="G16" s="9" t="s">
        <v>83</v>
      </c>
      <c r="H16" s="8" t="s">
        <v>84</v>
      </c>
      <c r="I16" s="8"/>
      <c r="J16" s="8" t="n">
        <v>3</v>
      </c>
      <c r="K16" s="8" t="n">
        <v>20</v>
      </c>
      <c r="L16" s="8" t="n">
        <v>40</v>
      </c>
      <c r="M16" s="8" t="n">
        <v>60</v>
      </c>
      <c r="N16" s="8" t="n">
        <v>80</v>
      </c>
      <c r="O16" s="9" t="s">
        <v>86</v>
      </c>
    </row>
    <row r="17" customFormat="false" ht="23.85" hidden="false" customHeight="false" outlineLevel="0" collapsed="false">
      <c r="A17" s="8" t="s">
        <v>98</v>
      </c>
      <c r="B17" s="9" t="s">
        <v>99</v>
      </c>
      <c r="C17" s="8" t="s">
        <v>81</v>
      </c>
      <c r="D17" s="9" t="s">
        <v>82</v>
      </c>
      <c r="E17" s="8" t="s">
        <v>76</v>
      </c>
      <c r="F17" s="8" t="s">
        <v>65</v>
      </c>
      <c r="G17" s="9" t="s">
        <v>83</v>
      </c>
      <c r="H17" s="8" t="s">
        <v>84</v>
      </c>
      <c r="I17" s="8"/>
      <c r="J17" s="8" t="n">
        <v>2</v>
      </c>
      <c r="K17" s="8" t="n">
        <v>20</v>
      </c>
      <c r="L17" s="8" t="n">
        <v>40</v>
      </c>
      <c r="M17" s="8" t="n">
        <v>60</v>
      </c>
      <c r="N17" s="8" t="n">
        <v>80</v>
      </c>
      <c r="O17" s="9" t="s">
        <v>86</v>
      </c>
    </row>
    <row r="18" customFormat="false" ht="23.85" hidden="false" customHeight="false" outlineLevel="0" collapsed="false">
      <c r="A18" s="8" t="s">
        <v>100</v>
      </c>
      <c r="B18" s="9" t="s">
        <v>101</v>
      </c>
      <c r="C18" s="8" t="s">
        <v>81</v>
      </c>
      <c r="D18" s="9" t="s">
        <v>82</v>
      </c>
      <c r="E18" s="8" t="s">
        <v>76</v>
      </c>
      <c r="F18" s="8" t="s">
        <v>65</v>
      </c>
      <c r="G18" s="9" t="s">
        <v>83</v>
      </c>
      <c r="H18" s="8" t="s">
        <v>95</v>
      </c>
      <c r="I18" s="8"/>
      <c r="J18" s="8" t="n">
        <v>2</v>
      </c>
      <c r="K18" s="8" t="n">
        <v>10</v>
      </c>
      <c r="L18" s="8" t="n">
        <v>5</v>
      </c>
      <c r="M18" s="8" t="n">
        <v>2</v>
      </c>
      <c r="N18" s="8" t="n">
        <v>1</v>
      </c>
      <c r="O18" s="9" t="s">
        <v>86</v>
      </c>
    </row>
    <row r="19" customFormat="false" ht="23.85" hidden="false" customHeight="false" outlineLevel="0" collapsed="false">
      <c r="A19" s="10" t="s">
        <v>102</v>
      </c>
      <c r="B19" s="11" t="s">
        <v>103</v>
      </c>
      <c r="C19" s="10" t="s">
        <v>81</v>
      </c>
      <c r="D19" s="11" t="s">
        <v>82</v>
      </c>
      <c r="E19" s="10" t="s">
        <v>76</v>
      </c>
      <c r="F19" s="10" t="s">
        <v>65</v>
      </c>
      <c r="G19" s="11" t="s">
        <v>83</v>
      </c>
      <c r="H19" s="10" t="s">
        <v>84</v>
      </c>
      <c r="I19" s="12" t="s">
        <v>85</v>
      </c>
      <c r="J19" s="10" t="n">
        <v>2</v>
      </c>
      <c r="K19" s="10" t="n">
        <v>20</v>
      </c>
      <c r="L19" s="10" t="n">
        <v>40</v>
      </c>
      <c r="M19" s="10" t="n">
        <v>60</v>
      </c>
      <c r="N19" s="10" t="n">
        <v>80</v>
      </c>
      <c r="O19" s="11" t="s">
        <v>86</v>
      </c>
    </row>
    <row r="20" customFormat="false" ht="23.85" hidden="false" customHeight="false" outlineLevel="0" collapsed="false">
      <c r="A20" s="8" t="s">
        <v>104</v>
      </c>
      <c r="B20" s="9" t="s">
        <v>105</v>
      </c>
      <c r="C20" s="8" t="s">
        <v>81</v>
      </c>
      <c r="D20" s="9" t="s">
        <v>82</v>
      </c>
      <c r="E20" s="8" t="s">
        <v>76</v>
      </c>
      <c r="F20" s="8" t="s">
        <v>65</v>
      </c>
      <c r="G20" s="9" t="s">
        <v>83</v>
      </c>
      <c r="H20" s="8" t="s">
        <v>84</v>
      </c>
      <c r="I20" s="8"/>
      <c r="J20" s="8" t="n">
        <v>2</v>
      </c>
      <c r="K20" s="8" t="n">
        <v>2</v>
      </c>
      <c r="L20" s="8" t="n">
        <v>5</v>
      </c>
      <c r="M20" s="8" t="n">
        <v>10</v>
      </c>
      <c r="N20" s="8" t="n">
        <v>25</v>
      </c>
      <c r="O20" s="9" t="s">
        <v>86</v>
      </c>
    </row>
    <row r="21" customFormat="false" ht="23.85" hidden="false" customHeight="false" outlineLevel="0" collapsed="false">
      <c r="A21" s="8" t="s">
        <v>106</v>
      </c>
      <c r="B21" s="9" t="s">
        <v>107</v>
      </c>
      <c r="C21" s="8" t="s">
        <v>81</v>
      </c>
      <c r="D21" s="9" t="s">
        <v>82</v>
      </c>
      <c r="E21" s="8" t="s">
        <v>76</v>
      </c>
      <c r="F21" s="8" t="s">
        <v>65</v>
      </c>
      <c r="G21" s="9" t="s">
        <v>77</v>
      </c>
      <c r="H21" s="8" t="s">
        <v>55</v>
      </c>
      <c r="I21" s="8"/>
      <c r="J21" s="8" t="n">
        <v>2</v>
      </c>
      <c r="K21" s="8"/>
      <c r="L21" s="8"/>
      <c r="M21" s="8"/>
      <c r="N21" s="8"/>
      <c r="O21" s="9" t="s">
        <v>78</v>
      </c>
    </row>
    <row r="22" customFormat="false" ht="15" hidden="false" customHeight="false" outlineLevel="0" collapsed="false">
      <c r="A22" s="8" t="s">
        <v>108</v>
      </c>
      <c r="B22" s="9" t="s">
        <v>109</v>
      </c>
      <c r="C22" s="8" t="s">
        <v>110</v>
      </c>
      <c r="D22" s="9" t="s">
        <v>111</v>
      </c>
      <c r="E22" s="8" t="s">
        <v>76</v>
      </c>
      <c r="F22" s="8" t="s">
        <v>53</v>
      </c>
      <c r="G22" s="9" t="s">
        <v>83</v>
      </c>
      <c r="H22" s="8" t="s">
        <v>84</v>
      </c>
      <c r="I22" s="8"/>
      <c r="J22" s="8" t="n">
        <v>3</v>
      </c>
      <c r="K22" s="8" t="n">
        <v>0.2</v>
      </c>
      <c r="L22" s="8" t="n">
        <v>0.4</v>
      </c>
      <c r="M22" s="8" t="n">
        <v>0.6</v>
      </c>
      <c r="N22" s="8" t="n">
        <v>0.8</v>
      </c>
      <c r="O22" s="9" t="s">
        <v>86</v>
      </c>
    </row>
    <row r="23" customFormat="false" ht="15" hidden="false" customHeight="false" outlineLevel="0" collapsed="false">
      <c r="A23" s="8" t="s">
        <v>112</v>
      </c>
      <c r="B23" s="9" t="s">
        <v>113</v>
      </c>
      <c r="C23" s="8" t="s">
        <v>110</v>
      </c>
      <c r="D23" s="9" t="s">
        <v>111</v>
      </c>
      <c r="E23" s="8" t="s">
        <v>76</v>
      </c>
      <c r="F23" s="8" t="s">
        <v>53</v>
      </c>
      <c r="G23" s="9" t="s">
        <v>83</v>
      </c>
      <c r="H23" s="8" t="s">
        <v>84</v>
      </c>
      <c r="I23" s="8"/>
      <c r="J23" s="8" t="n">
        <v>3</v>
      </c>
      <c r="K23" s="8" t="n">
        <v>20</v>
      </c>
      <c r="L23" s="8" t="n">
        <v>40</v>
      </c>
      <c r="M23" s="8" t="n">
        <v>60</v>
      </c>
      <c r="N23" s="8" t="n">
        <v>80</v>
      </c>
      <c r="O23" s="9" t="s">
        <v>86</v>
      </c>
    </row>
    <row r="24" customFormat="false" ht="15" hidden="false" customHeight="false" outlineLevel="0" collapsed="false">
      <c r="A24" s="10" t="s">
        <v>114</v>
      </c>
      <c r="B24" s="11" t="s">
        <v>115</v>
      </c>
      <c r="C24" s="10" t="s">
        <v>110</v>
      </c>
      <c r="D24" s="11" t="s">
        <v>111</v>
      </c>
      <c r="E24" s="10" t="s">
        <v>76</v>
      </c>
      <c r="F24" s="10" t="s">
        <v>65</v>
      </c>
      <c r="G24" s="11" t="s">
        <v>77</v>
      </c>
      <c r="H24" s="10" t="s">
        <v>55</v>
      </c>
      <c r="I24" s="12" t="s">
        <v>85</v>
      </c>
      <c r="J24" s="10" t="n">
        <v>2</v>
      </c>
      <c r="K24" s="10"/>
      <c r="L24" s="10"/>
      <c r="M24" s="10"/>
      <c r="N24" s="10"/>
      <c r="O24" s="11" t="s">
        <v>78</v>
      </c>
    </row>
    <row r="25" customFormat="false" ht="15" hidden="false" customHeight="false" outlineLevel="0" collapsed="false">
      <c r="A25" s="8" t="s">
        <v>116</v>
      </c>
      <c r="B25" s="9" t="s">
        <v>117</v>
      </c>
      <c r="C25" s="8" t="s">
        <v>110</v>
      </c>
      <c r="D25" s="9" t="s">
        <v>111</v>
      </c>
      <c r="E25" s="8" t="s">
        <v>76</v>
      </c>
      <c r="F25" s="8" t="s">
        <v>65</v>
      </c>
      <c r="G25" s="9" t="s">
        <v>77</v>
      </c>
      <c r="H25" s="8" t="s">
        <v>55</v>
      </c>
      <c r="I25" s="8"/>
      <c r="J25" s="8" t="n">
        <v>2</v>
      </c>
      <c r="K25" s="8"/>
      <c r="L25" s="8"/>
      <c r="M25" s="8"/>
      <c r="N25" s="8"/>
      <c r="O25" s="9" t="s">
        <v>78</v>
      </c>
    </row>
    <row r="26" customFormat="false" ht="15" hidden="false" customHeight="false" outlineLevel="0" collapsed="false">
      <c r="A26" s="8" t="s">
        <v>118</v>
      </c>
      <c r="B26" s="9" t="s">
        <v>119</v>
      </c>
      <c r="C26" s="8" t="s">
        <v>110</v>
      </c>
      <c r="D26" s="9" t="s">
        <v>111</v>
      </c>
      <c r="E26" s="8" t="s">
        <v>76</v>
      </c>
      <c r="F26" s="8" t="s">
        <v>65</v>
      </c>
      <c r="G26" s="9" t="s">
        <v>77</v>
      </c>
      <c r="H26" s="8" t="s">
        <v>55</v>
      </c>
      <c r="I26" s="8"/>
      <c r="J26" s="8" t="n">
        <v>2</v>
      </c>
      <c r="K26" s="8"/>
      <c r="L26" s="8"/>
      <c r="M26" s="8"/>
      <c r="N26" s="8"/>
      <c r="O26" s="9" t="s">
        <v>78</v>
      </c>
    </row>
    <row r="27" customFormat="false" ht="15" hidden="false" customHeight="false" outlineLevel="0" collapsed="false">
      <c r="A27" s="8" t="s">
        <v>120</v>
      </c>
      <c r="B27" s="9" t="s">
        <v>121</v>
      </c>
      <c r="C27" s="8" t="s">
        <v>110</v>
      </c>
      <c r="D27" s="9" t="s">
        <v>111</v>
      </c>
      <c r="E27" s="8" t="s">
        <v>76</v>
      </c>
      <c r="F27" s="8" t="s">
        <v>65</v>
      </c>
      <c r="G27" s="9" t="s">
        <v>77</v>
      </c>
      <c r="H27" s="8" t="s">
        <v>55</v>
      </c>
      <c r="I27" s="8"/>
      <c r="J27" s="8" t="n">
        <v>2</v>
      </c>
      <c r="K27" s="8"/>
      <c r="L27" s="8"/>
      <c r="M27" s="8"/>
      <c r="N27" s="8"/>
      <c r="O27" s="9" t="s">
        <v>78</v>
      </c>
    </row>
    <row r="28" customFormat="false" ht="15" hidden="false" customHeight="false" outlineLevel="0" collapsed="false">
      <c r="A28" s="8" t="s">
        <v>122</v>
      </c>
      <c r="B28" s="9" t="s">
        <v>123</v>
      </c>
      <c r="C28" s="8" t="s">
        <v>110</v>
      </c>
      <c r="D28" s="9" t="s">
        <v>111</v>
      </c>
      <c r="E28" s="8" t="s">
        <v>76</v>
      </c>
      <c r="F28" s="8" t="s">
        <v>65</v>
      </c>
      <c r="G28" s="9" t="s">
        <v>77</v>
      </c>
      <c r="H28" s="8" t="s">
        <v>55</v>
      </c>
      <c r="I28" s="8"/>
      <c r="J28" s="8" t="n">
        <v>2</v>
      </c>
      <c r="K28" s="8"/>
      <c r="L28" s="8"/>
      <c r="M28" s="8"/>
      <c r="N28" s="8"/>
      <c r="O28" s="9" t="s">
        <v>78</v>
      </c>
    </row>
    <row r="29" customFormat="false" ht="15" hidden="false" customHeight="false" outlineLevel="0" collapsed="false">
      <c r="A29" s="8" t="s">
        <v>124</v>
      </c>
      <c r="B29" s="9" t="s">
        <v>125</v>
      </c>
      <c r="C29" s="8" t="s">
        <v>110</v>
      </c>
      <c r="D29" s="9" t="s">
        <v>111</v>
      </c>
      <c r="E29" s="8" t="s">
        <v>76</v>
      </c>
      <c r="F29" s="8" t="s">
        <v>65</v>
      </c>
      <c r="G29" s="9" t="s">
        <v>77</v>
      </c>
      <c r="H29" s="8" t="s">
        <v>55</v>
      </c>
      <c r="I29" s="8"/>
      <c r="J29" s="8" t="n">
        <v>2</v>
      </c>
      <c r="K29" s="8"/>
      <c r="L29" s="8"/>
      <c r="M29" s="8"/>
      <c r="N29" s="8"/>
      <c r="O29" s="9" t="s">
        <v>78</v>
      </c>
    </row>
    <row r="30" customFormat="false" ht="15" hidden="false" customHeight="false" outlineLevel="0" collapsed="false">
      <c r="A30" s="8" t="s">
        <v>126</v>
      </c>
      <c r="B30" s="9" t="s">
        <v>127</v>
      </c>
      <c r="C30" s="8" t="s">
        <v>110</v>
      </c>
      <c r="D30" s="9" t="s">
        <v>111</v>
      </c>
      <c r="E30" s="8" t="s">
        <v>76</v>
      </c>
      <c r="F30" s="8" t="s">
        <v>65</v>
      </c>
      <c r="G30" s="9" t="s">
        <v>83</v>
      </c>
      <c r="H30" s="8" t="s">
        <v>84</v>
      </c>
      <c r="I30" s="8"/>
      <c r="J30" s="8" t="n">
        <v>2</v>
      </c>
      <c r="K30" s="8" t="n">
        <v>20</v>
      </c>
      <c r="L30" s="8" t="n">
        <v>40</v>
      </c>
      <c r="M30" s="8" t="n">
        <v>60</v>
      </c>
      <c r="N30" s="8" t="n">
        <v>80</v>
      </c>
      <c r="O30" s="9" t="s">
        <v>86</v>
      </c>
    </row>
    <row r="31" customFormat="false" ht="23.85" hidden="false" customHeight="false" outlineLevel="0" collapsed="false">
      <c r="A31" s="8" t="s">
        <v>128</v>
      </c>
      <c r="B31" s="9" t="s">
        <v>129</v>
      </c>
      <c r="C31" s="8" t="s">
        <v>110</v>
      </c>
      <c r="D31" s="9" t="s">
        <v>111</v>
      </c>
      <c r="E31" s="8" t="s">
        <v>76</v>
      </c>
      <c r="F31" s="8" t="s">
        <v>65</v>
      </c>
      <c r="G31" s="9" t="s">
        <v>77</v>
      </c>
      <c r="H31" s="8" t="s">
        <v>55</v>
      </c>
      <c r="I31" s="8"/>
      <c r="J31" s="8" t="n">
        <v>2</v>
      </c>
      <c r="K31" s="8"/>
      <c r="L31" s="8"/>
      <c r="M31" s="8"/>
      <c r="N31" s="8"/>
      <c r="O31" s="9" t="s">
        <v>78</v>
      </c>
    </row>
    <row r="32" customFormat="false" ht="15" hidden="false" customHeight="false" outlineLevel="0" collapsed="false">
      <c r="A32" s="10" t="s">
        <v>130</v>
      </c>
      <c r="B32" s="11" t="s">
        <v>131</v>
      </c>
      <c r="C32" s="10" t="s">
        <v>110</v>
      </c>
      <c r="D32" s="11" t="s">
        <v>111</v>
      </c>
      <c r="E32" s="10" t="s">
        <v>76</v>
      </c>
      <c r="F32" s="10" t="s">
        <v>65</v>
      </c>
      <c r="G32" s="11" t="s">
        <v>77</v>
      </c>
      <c r="H32" s="10" t="s">
        <v>55</v>
      </c>
      <c r="I32" s="12" t="s">
        <v>85</v>
      </c>
      <c r="J32" s="10" t="n">
        <v>2</v>
      </c>
      <c r="K32" s="10"/>
      <c r="L32" s="10"/>
      <c r="M32" s="10"/>
      <c r="N32" s="10"/>
      <c r="O32" s="11" t="s">
        <v>78</v>
      </c>
    </row>
    <row r="33" customFormat="false" ht="15" hidden="false" customHeight="false" outlineLevel="0" collapsed="false">
      <c r="A33" s="8" t="s">
        <v>132</v>
      </c>
      <c r="B33" s="9" t="s">
        <v>133</v>
      </c>
      <c r="C33" s="8" t="s">
        <v>110</v>
      </c>
      <c r="D33" s="9" t="s">
        <v>111</v>
      </c>
      <c r="E33" s="8" t="s">
        <v>76</v>
      </c>
      <c r="F33" s="8" t="s">
        <v>65</v>
      </c>
      <c r="G33" s="9" t="s">
        <v>77</v>
      </c>
      <c r="H33" s="8" t="s">
        <v>55</v>
      </c>
      <c r="I33" s="8"/>
      <c r="J33" s="8" t="n">
        <v>2</v>
      </c>
      <c r="K33" s="8"/>
      <c r="L33" s="8"/>
      <c r="M33" s="8"/>
      <c r="N33" s="8"/>
      <c r="O33" s="9" t="s">
        <v>78</v>
      </c>
    </row>
    <row r="34" customFormat="false" ht="23.85" hidden="false" customHeight="false" outlineLevel="0" collapsed="false">
      <c r="A34" s="8" t="s">
        <v>134</v>
      </c>
      <c r="B34" s="9" t="s">
        <v>135</v>
      </c>
      <c r="C34" s="8" t="s">
        <v>110</v>
      </c>
      <c r="D34" s="9" t="s">
        <v>111</v>
      </c>
      <c r="E34" s="8" t="s">
        <v>76</v>
      </c>
      <c r="F34" s="8" t="s">
        <v>65</v>
      </c>
      <c r="G34" s="9" t="s">
        <v>83</v>
      </c>
      <c r="H34" s="8" t="s">
        <v>84</v>
      </c>
      <c r="I34" s="8"/>
      <c r="J34" s="8" t="n">
        <v>2</v>
      </c>
      <c r="K34" s="8" t="n">
        <v>20</v>
      </c>
      <c r="L34" s="8" t="n">
        <v>40</v>
      </c>
      <c r="M34" s="8" t="n">
        <v>60</v>
      </c>
      <c r="N34" s="8" t="n">
        <v>80</v>
      </c>
      <c r="O34" s="9" t="s">
        <v>86</v>
      </c>
    </row>
    <row r="35" customFormat="false" ht="23.85" hidden="false" customHeight="false" outlineLevel="0" collapsed="false">
      <c r="A35" s="10" t="s">
        <v>136</v>
      </c>
      <c r="B35" s="11" t="s">
        <v>137</v>
      </c>
      <c r="C35" s="10" t="s">
        <v>138</v>
      </c>
      <c r="D35" s="11" t="s">
        <v>139</v>
      </c>
      <c r="E35" s="10" t="s">
        <v>76</v>
      </c>
      <c r="F35" s="10" t="s">
        <v>53</v>
      </c>
      <c r="G35" s="11" t="s">
        <v>77</v>
      </c>
      <c r="H35" s="10" t="s">
        <v>55</v>
      </c>
      <c r="I35" s="12" t="s">
        <v>85</v>
      </c>
      <c r="J35" s="10" t="n">
        <v>3</v>
      </c>
      <c r="K35" s="10"/>
      <c r="L35" s="10"/>
      <c r="M35" s="10"/>
      <c r="N35" s="10"/>
      <c r="O35" s="11" t="s">
        <v>78</v>
      </c>
    </row>
    <row r="36" customFormat="false" ht="23.85" hidden="false" customHeight="false" outlineLevel="0" collapsed="false">
      <c r="A36" s="10" t="s">
        <v>140</v>
      </c>
      <c r="B36" s="11" t="s">
        <v>141</v>
      </c>
      <c r="C36" s="10" t="s">
        <v>138</v>
      </c>
      <c r="D36" s="11" t="s">
        <v>139</v>
      </c>
      <c r="E36" s="10" t="s">
        <v>76</v>
      </c>
      <c r="F36" s="10" t="s">
        <v>53</v>
      </c>
      <c r="G36" s="11" t="s">
        <v>83</v>
      </c>
      <c r="H36" s="10" t="s">
        <v>84</v>
      </c>
      <c r="I36" s="12" t="s">
        <v>85</v>
      </c>
      <c r="J36" s="10" t="n">
        <v>3</v>
      </c>
      <c r="K36" s="10" t="n">
        <v>0.2</v>
      </c>
      <c r="L36" s="10" t="n">
        <v>0.4</v>
      </c>
      <c r="M36" s="10" t="n">
        <v>0.6</v>
      </c>
      <c r="N36" s="10" t="n">
        <v>0.8</v>
      </c>
      <c r="O36" s="11" t="s">
        <v>86</v>
      </c>
    </row>
    <row r="37" customFormat="false" ht="23.85" hidden="false" customHeight="false" outlineLevel="0" collapsed="false">
      <c r="A37" s="8" t="s">
        <v>142</v>
      </c>
      <c r="B37" s="9" t="s">
        <v>143</v>
      </c>
      <c r="C37" s="8" t="s">
        <v>138</v>
      </c>
      <c r="D37" s="9" t="s">
        <v>139</v>
      </c>
      <c r="E37" s="8" t="s">
        <v>76</v>
      </c>
      <c r="F37" s="8" t="s">
        <v>53</v>
      </c>
      <c r="G37" s="9" t="s">
        <v>83</v>
      </c>
      <c r="H37" s="8" t="s">
        <v>84</v>
      </c>
      <c r="I37" s="8"/>
      <c r="J37" s="8" t="n">
        <v>3</v>
      </c>
      <c r="K37" s="8" t="n">
        <v>20</v>
      </c>
      <c r="L37" s="8" t="n">
        <v>40</v>
      </c>
      <c r="M37" s="8" t="n">
        <v>60</v>
      </c>
      <c r="N37" s="8" t="n">
        <v>80</v>
      </c>
      <c r="O37" s="9" t="s">
        <v>86</v>
      </c>
    </row>
    <row r="38" customFormat="false" ht="23.85" hidden="false" customHeight="false" outlineLevel="0" collapsed="false">
      <c r="A38" s="8" t="s">
        <v>144</v>
      </c>
      <c r="B38" s="9" t="s">
        <v>145</v>
      </c>
      <c r="C38" s="8" t="s">
        <v>138</v>
      </c>
      <c r="D38" s="9" t="s">
        <v>139</v>
      </c>
      <c r="E38" s="8" t="s">
        <v>76</v>
      </c>
      <c r="F38" s="8" t="s">
        <v>65</v>
      </c>
      <c r="G38" s="9" t="s">
        <v>77</v>
      </c>
      <c r="H38" s="8" t="s">
        <v>55</v>
      </c>
      <c r="I38" s="8"/>
      <c r="J38" s="8" t="n">
        <v>2</v>
      </c>
      <c r="K38" s="8"/>
      <c r="L38" s="8"/>
      <c r="M38" s="8"/>
      <c r="N38" s="8"/>
      <c r="O38" s="9" t="s">
        <v>78</v>
      </c>
    </row>
    <row r="39" customFormat="false" ht="23.85" hidden="false" customHeight="false" outlineLevel="0" collapsed="false">
      <c r="A39" s="10" t="s">
        <v>146</v>
      </c>
      <c r="B39" s="11" t="s">
        <v>147</v>
      </c>
      <c r="C39" s="10" t="s">
        <v>138</v>
      </c>
      <c r="D39" s="11" t="s">
        <v>139</v>
      </c>
      <c r="E39" s="10" t="s">
        <v>76</v>
      </c>
      <c r="F39" s="10" t="s">
        <v>65</v>
      </c>
      <c r="G39" s="11" t="s">
        <v>77</v>
      </c>
      <c r="H39" s="10" t="s">
        <v>55</v>
      </c>
      <c r="I39" s="12" t="s">
        <v>85</v>
      </c>
      <c r="J39" s="10" t="n">
        <v>2</v>
      </c>
      <c r="K39" s="10"/>
      <c r="L39" s="10"/>
      <c r="M39" s="10"/>
      <c r="N39" s="10"/>
      <c r="O39" s="11" t="s">
        <v>78</v>
      </c>
    </row>
    <row r="40" customFormat="false" ht="23.85" hidden="false" customHeight="false" outlineLevel="0" collapsed="false">
      <c r="A40" s="8" t="s">
        <v>148</v>
      </c>
      <c r="B40" s="9" t="s">
        <v>149</v>
      </c>
      <c r="C40" s="8" t="s">
        <v>138</v>
      </c>
      <c r="D40" s="9" t="s">
        <v>139</v>
      </c>
      <c r="E40" s="8" t="s">
        <v>76</v>
      </c>
      <c r="F40" s="8" t="s">
        <v>65</v>
      </c>
      <c r="G40" s="9" t="s">
        <v>77</v>
      </c>
      <c r="H40" s="8" t="s">
        <v>55</v>
      </c>
      <c r="I40" s="8"/>
      <c r="J40" s="8" t="n">
        <v>2</v>
      </c>
      <c r="K40" s="8"/>
      <c r="L40" s="8"/>
      <c r="M40" s="8"/>
      <c r="N40" s="8"/>
      <c r="O40" s="9" t="s">
        <v>78</v>
      </c>
    </row>
    <row r="41" customFormat="false" ht="23.85" hidden="false" customHeight="false" outlineLevel="0" collapsed="false">
      <c r="A41" s="8" t="s">
        <v>150</v>
      </c>
      <c r="B41" s="9" t="s">
        <v>151</v>
      </c>
      <c r="C41" s="8" t="s">
        <v>138</v>
      </c>
      <c r="D41" s="9" t="s">
        <v>139</v>
      </c>
      <c r="E41" s="8" t="s">
        <v>76</v>
      </c>
      <c r="F41" s="8" t="s">
        <v>65</v>
      </c>
      <c r="G41" s="9" t="s">
        <v>83</v>
      </c>
      <c r="H41" s="8" t="s">
        <v>84</v>
      </c>
      <c r="I41" s="8"/>
      <c r="J41" s="8" t="n">
        <v>2</v>
      </c>
      <c r="K41" s="8" t="n">
        <v>20</v>
      </c>
      <c r="L41" s="8" t="n">
        <v>40</v>
      </c>
      <c r="M41" s="8" t="n">
        <v>60</v>
      </c>
      <c r="N41" s="8" t="n">
        <v>80</v>
      </c>
      <c r="O41" s="9" t="s">
        <v>86</v>
      </c>
    </row>
    <row r="42" customFormat="false" ht="23.85" hidden="false" customHeight="false" outlineLevel="0" collapsed="false">
      <c r="A42" s="8" t="s">
        <v>152</v>
      </c>
      <c r="B42" s="9" t="s">
        <v>153</v>
      </c>
      <c r="C42" s="8" t="s">
        <v>138</v>
      </c>
      <c r="D42" s="9" t="s">
        <v>139</v>
      </c>
      <c r="E42" s="8" t="s">
        <v>76</v>
      </c>
      <c r="F42" s="8" t="s">
        <v>65</v>
      </c>
      <c r="G42" s="9" t="s">
        <v>77</v>
      </c>
      <c r="H42" s="8" t="s">
        <v>55</v>
      </c>
      <c r="I42" s="8"/>
      <c r="J42" s="8" t="n">
        <v>2</v>
      </c>
      <c r="K42" s="8"/>
      <c r="L42" s="8"/>
      <c r="M42" s="8"/>
      <c r="N42" s="8"/>
      <c r="O42" s="9" t="s">
        <v>78</v>
      </c>
    </row>
    <row r="43" customFormat="false" ht="23.85" hidden="false" customHeight="false" outlineLevel="0" collapsed="false">
      <c r="A43" s="10" t="s">
        <v>154</v>
      </c>
      <c r="B43" s="11" t="s">
        <v>155</v>
      </c>
      <c r="C43" s="10" t="s">
        <v>138</v>
      </c>
      <c r="D43" s="11" t="s">
        <v>139</v>
      </c>
      <c r="E43" s="10" t="s">
        <v>76</v>
      </c>
      <c r="F43" s="10" t="s">
        <v>65</v>
      </c>
      <c r="G43" s="11" t="s">
        <v>77</v>
      </c>
      <c r="H43" s="10" t="s">
        <v>55</v>
      </c>
      <c r="I43" s="12" t="s">
        <v>85</v>
      </c>
      <c r="J43" s="10" t="n">
        <v>2</v>
      </c>
      <c r="K43" s="10"/>
      <c r="L43" s="10"/>
      <c r="M43" s="10"/>
      <c r="N43" s="10"/>
      <c r="O43" s="11" t="s">
        <v>78</v>
      </c>
    </row>
    <row r="44" customFormat="false" ht="23.85" hidden="false" customHeight="false" outlineLevel="0" collapsed="false">
      <c r="A44" s="8" t="s">
        <v>156</v>
      </c>
      <c r="B44" s="9" t="s">
        <v>157</v>
      </c>
      <c r="C44" s="8" t="s">
        <v>138</v>
      </c>
      <c r="D44" s="9" t="s">
        <v>139</v>
      </c>
      <c r="E44" s="8" t="s">
        <v>76</v>
      </c>
      <c r="F44" s="8" t="s">
        <v>65</v>
      </c>
      <c r="G44" s="9" t="s">
        <v>77</v>
      </c>
      <c r="H44" s="8" t="s">
        <v>55</v>
      </c>
      <c r="I44" s="8"/>
      <c r="J44" s="8" t="n">
        <v>2</v>
      </c>
      <c r="K44" s="8"/>
      <c r="L44" s="8"/>
      <c r="M44" s="8"/>
      <c r="N44" s="8"/>
      <c r="O44" s="9" t="s">
        <v>78</v>
      </c>
    </row>
    <row r="45" customFormat="false" ht="23.85" hidden="false" customHeight="false" outlineLevel="0" collapsed="false">
      <c r="A45" s="8" t="s">
        <v>158</v>
      </c>
      <c r="B45" s="9" t="s">
        <v>159</v>
      </c>
      <c r="C45" s="8" t="s">
        <v>138</v>
      </c>
      <c r="D45" s="9" t="s">
        <v>139</v>
      </c>
      <c r="E45" s="8" t="s">
        <v>76</v>
      </c>
      <c r="F45" s="8" t="s">
        <v>65</v>
      </c>
      <c r="G45" s="9" t="s">
        <v>77</v>
      </c>
      <c r="H45" s="8" t="s">
        <v>55</v>
      </c>
      <c r="I45" s="8"/>
      <c r="J45" s="8" t="n">
        <v>2</v>
      </c>
      <c r="K45" s="8"/>
      <c r="L45" s="8"/>
      <c r="M45" s="8"/>
      <c r="N45" s="8"/>
      <c r="O45" s="9" t="s">
        <v>78</v>
      </c>
    </row>
    <row r="46" customFormat="false" ht="23.85" hidden="false" customHeight="false" outlineLevel="0" collapsed="false">
      <c r="A46" s="8" t="s">
        <v>160</v>
      </c>
      <c r="B46" s="9" t="s">
        <v>161</v>
      </c>
      <c r="C46" s="8" t="s">
        <v>138</v>
      </c>
      <c r="D46" s="9" t="s">
        <v>139</v>
      </c>
      <c r="E46" s="8" t="s">
        <v>76</v>
      </c>
      <c r="F46" s="8" t="s">
        <v>65</v>
      </c>
      <c r="G46" s="9" t="s">
        <v>77</v>
      </c>
      <c r="H46" s="8" t="s">
        <v>55</v>
      </c>
      <c r="I46" s="8"/>
      <c r="J46" s="8" t="n">
        <v>2</v>
      </c>
      <c r="K46" s="8"/>
      <c r="L46" s="8"/>
      <c r="M46" s="8"/>
      <c r="N46" s="8"/>
      <c r="O46" s="9" t="s">
        <v>78</v>
      </c>
    </row>
    <row r="47" customFormat="false" ht="23.85" hidden="false" customHeight="false" outlineLevel="0" collapsed="false">
      <c r="A47" s="8" t="s">
        <v>162</v>
      </c>
      <c r="B47" s="9" t="s">
        <v>163</v>
      </c>
      <c r="C47" s="8" t="s">
        <v>138</v>
      </c>
      <c r="D47" s="9" t="s">
        <v>139</v>
      </c>
      <c r="E47" s="8" t="s">
        <v>76</v>
      </c>
      <c r="F47" s="8" t="s">
        <v>65</v>
      </c>
      <c r="G47" s="9" t="s">
        <v>77</v>
      </c>
      <c r="H47" s="8" t="s">
        <v>55</v>
      </c>
      <c r="I47" s="8"/>
      <c r="J47" s="8" t="n">
        <v>2</v>
      </c>
      <c r="K47" s="8"/>
      <c r="L47" s="8"/>
      <c r="M47" s="8"/>
      <c r="N47" s="8"/>
      <c r="O47" s="9" t="s">
        <v>78</v>
      </c>
    </row>
    <row r="48" customFormat="false" ht="23.85" hidden="false" customHeight="false" outlineLevel="0" collapsed="false">
      <c r="A48" s="8" t="s">
        <v>164</v>
      </c>
      <c r="B48" s="9" t="s">
        <v>165</v>
      </c>
      <c r="C48" s="8" t="s">
        <v>74</v>
      </c>
      <c r="D48" s="9" t="s">
        <v>75</v>
      </c>
      <c r="E48" s="8" t="s">
        <v>76</v>
      </c>
      <c r="F48" s="8" t="s">
        <v>53</v>
      </c>
      <c r="G48" s="9" t="s">
        <v>83</v>
      </c>
      <c r="H48" s="8" t="s">
        <v>84</v>
      </c>
      <c r="I48" s="8"/>
      <c r="J48" s="8" t="n">
        <v>3</v>
      </c>
      <c r="K48" s="8" t="n">
        <v>4</v>
      </c>
      <c r="L48" s="8" t="n">
        <v>6</v>
      </c>
      <c r="M48" s="8" t="n">
        <v>8</v>
      </c>
      <c r="N48" s="8" t="n">
        <v>10</v>
      </c>
      <c r="O48" s="9" t="s">
        <v>86</v>
      </c>
    </row>
    <row r="49" customFormat="false" ht="23.85" hidden="false" customHeight="false" outlineLevel="0" collapsed="false">
      <c r="A49" s="8" t="s">
        <v>166</v>
      </c>
      <c r="B49" s="9" t="s">
        <v>167</v>
      </c>
      <c r="C49" s="8" t="s">
        <v>74</v>
      </c>
      <c r="D49" s="9" t="s">
        <v>75</v>
      </c>
      <c r="E49" s="8" t="s">
        <v>76</v>
      </c>
      <c r="F49" s="8" t="s">
        <v>53</v>
      </c>
      <c r="G49" s="9" t="s">
        <v>83</v>
      </c>
      <c r="H49" s="8" t="s">
        <v>84</v>
      </c>
      <c r="I49" s="8"/>
      <c r="J49" s="8" t="n">
        <v>3</v>
      </c>
      <c r="K49" s="8" t="n">
        <v>50</v>
      </c>
      <c r="L49" s="8" t="n">
        <v>65</v>
      </c>
      <c r="M49" s="8" t="n">
        <v>80</v>
      </c>
      <c r="N49" s="8" t="n">
        <v>90</v>
      </c>
      <c r="O49" s="9" t="s">
        <v>86</v>
      </c>
    </row>
    <row r="50" customFormat="false" ht="23.85" hidden="false" customHeight="false" outlineLevel="0" collapsed="false">
      <c r="A50" s="8" t="s">
        <v>168</v>
      </c>
      <c r="B50" s="9" t="s">
        <v>169</v>
      </c>
      <c r="C50" s="8" t="s">
        <v>74</v>
      </c>
      <c r="D50" s="9" t="s">
        <v>75</v>
      </c>
      <c r="E50" s="8" t="s">
        <v>76</v>
      </c>
      <c r="F50" s="8" t="s">
        <v>53</v>
      </c>
      <c r="G50" s="9" t="s">
        <v>83</v>
      </c>
      <c r="H50" s="8" t="s">
        <v>84</v>
      </c>
      <c r="I50" s="8"/>
      <c r="J50" s="8" t="n">
        <v>3</v>
      </c>
      <c r="K50" s="8" t="n">
        <v>10</v>
      </c>
      <c r="L50" s="8" t="n">
        <v>20</v>
      </c>
      <c r="M50" s="8" t="n">
        <v>30</v>
      </c>
      <c r="N50" s="8" t="n">
        <v>40</v>
      </c>
      <c r="O50" s="9" t="s">
        <v>86</v>
      </c>
    </row>
    <row r="51" customFormat="false" ht="23.85" hidden="false" customHeight="false" outlineLevel="0" collapsed="false">
      <c r="A51" s="8" t="s">
        <v>170</v>
      </c>
      <c r="B51" s="9" t="s">
        <v>171</v>
      </c>
      <c r="C51" s="8" t="s">
        <v>74</v>
      </c>
      <c r="D51" s="9" t="s">
        <v>75</v>
      </c>
      <c r="E51" s="8" t="s">
        <v>76</v>
      </c>
      <c r="F51" s="8" t="s">
        <v>65</v>
      </c>
      <c r="G51" s="9" t="s">
        <v>83</v>
      </c>
      <c r="H51" s="8" t="s">
        <v>84</v>
      </c>
      <c r="I51" s="8"/>
      <c r="J51" s="8" t="n">
        <v>2</v>
      </c>
      <c r="K51" s="8" t="n">
        <v>10</v>
      </c>
      <c r="L51" s="8" t="n">
        <v>25</v>
      </c>
      <c r="M51" s="8" t="n">
        <v>50</v>
      </c>
      <c r="N51" s="8" t="n">
        <v>75</v>
      </c>
      <c r="O51" s="9" t="s">
        <v>86</v>
      </c>
    </row>
    <row r="52" customFormat="false" ht="23.85" hidden="false" customHeight="false" outlineLevel="0" collapsed="false">
      <c r="A52" s="10" t="s">
        <v>172</v>
      </c>
      <c r="B52" s="11" t="s">
        <v>173</v>
      </c>
      <c r="C52" s="10" t="s">
        <v>74</v>
      </c>
      <c r="D52" s="11" t="s">
        <v>75</v>
      </c>
      <c r="E52" s="10" t="s">
        <v>76</v>
      </c>
      <c r="F52" s="10" t="s">
        <v>65</v>
      </c>
      <c r="G52" s="11" t="s">
        <v>83</v>
      </c>
      <c r="H52" s="10" t="s">
        <v>84</v>
      </c>
      <c r="I52" s="12" t="s">
        <v>85</v>
      </c>
      <c r="J52" s="10" t="n">
        <v>2</v>
      </c>
      <c r="K52" s="10" t="n">
        <v>10</v>
      </c>
      <c r="L52" s="10" t="n">
        <v>25</v>
      </c>
      <c r="M52" s="10" t="n">
        <v>50</v>
      </c>
      <c r="N52" s="10" t="n">
        <v>75</v>
      </c>
      <c r="O52" s="11" t="s">
        <v>86</v>
      </c>
    </row>
    <row r="53" customFormat="false" ht="23.85" hidden="false" customHeight="false" outlineLevel="0" collapsed="false">
      <c r="A53" s="8" t="s">
        <v>174</v>
      </c>
      <c r="B53" s="9" t="s">
        <v>175</v>
      </c>
      <c r="C53" s="8" t="s">
        <v>74</v>
      </c>
      <c r="D53" s="9" t="s">
        <v>75</v>
      </c>
      <c r="E53" s="8" t="s">
        <v>76</v>
      </c>
      <c r="F53" s="8" t="s">
        <v>65</v>
      </c>
      <c r="G53" s="9" t="s">
        <v>77</v>
      </c>
      <c r="H53" s="8" t="s">
        <v>55</v>
      </c>
      <c r="I53" s="8"/>
      <c r="J53" s="8" t="n">
        <v>2</v>
      </c>
      <c r="K53" s="8"/>
      <c r="L53" s="8"/>
      <c r="M53" s="8"/>
      <c r="N53" s="8"/>
      <c r="O53" s="9" t="s">
        <v>78</v>
      </c>
    </row>
    <row r="54" customFormat="false" ht="23.85" hidden="false" customHeight="false" outlineLevel="0" collapsed="false">
      <c r="A54" s="10" t="s">
        <v>176</v>
      </c>
      <c r="B54" s="11" t="s">
        <v>177</v>
      </c>
      <c r="C54" s="10" t="s">
        <v>74</v>
      </c>
      <c r="D54" s="11" t="s">
        <v>75</v>
      </c>
      <c r="E54" s="10" t="s">
        <v>76</v>
      </c>
      <c r="F54" s="10" t="s">
        <v>65</v>
      </c>
      <c r="G54" s="11" t="s">
        <v>77</v>
      </c>
      <c r="H54" s="10" t="s">
        <v>55</v>
      </c>
      <c r="I54" s="12" t="s">
        <v>85</v>
      </c>
      <c r="J54" s="10" t="n">
        <v>2</v>
      </c>
      <c r="K54" s="10"/>
      <c r="L54" s="10"/>
      <c r="M54" s="10"/>
      <c r="N54" s="10"/>
      <c r="O54" s="11" t="s">
        <v>78</v>
      </c>
    </row>
    <row r="55" customFormat="false" ht="23.85" hidden="false" customHeight="false" outlineLevel="0" collapsed="false">
      <c r="A55" s="8" t="s">
        <v>178</v>
      </c>
      <c r="B55" s="9" t="s">
        <v>179</v>
      </c>
      <c r="C55" s="8" t="s">
        <v>74</v>
      </c>
      <c r="D55" s="9" t="s">
        <v>75</v>
      </c>
      <c r="E55" s="8" t="s">
        <v>76</v>
      </c>
      <c r="F55" s="8" t="s">
        <v>65</v>
      </c>
      <c r="G55" s="9" t="s">
        <v>77</v>
      </c>
      <c r="H55" s="8" t="s">
        <v>55</v>
      </c>
      <c r="I55" s="8"/>
      <c r="J55" s="8" t="n">
        <v>2</v>
      </c>
      <c r="K55" s="8"/>
      <c r="L55" s="8"/>
      <c r="M55" s="8"/>
      <c r="N55" s="8"/>
      <c r="O55" s="9" t="s">
        <v>78</v>
      </c>
    </row>
    <row r="56" customFormat="false" ht="23.85" hidden="false" customHeight="false" outlineLevel="0" collapsed="false">
      <c r="A56" s="8" t="s">
        <v>180</v>
      </c>
      <c r="B56" s="9" t="s">
        <v>181</v>
      </c>
      <c r="C56" s="8" t="s">
        <v>74</v>
      </c>
      <c r="D56" s="9" t="s">
        <v>75</v>
      </c>
      <c r="E56" s="8" t="s">
        <v>76</v>
      </c>
      <c r="F56" s="8" t="s">
        <v>65</v>
      </c>
      <c r="G56" s="9" t="s">
        <v>77</v>
      </c>
      <c r="H56" s="8" t="s">
        <v>55</v>
      </c>
      <c r="I56" s="8"/>
      <c r="J56" s="8" t="n">
        <v>2</v>
      </c>
      <c r="K56" s="8"/>
      <c r="L56" s="8"/>
      <c r="M56" s="8"/>
      <c r="N56" s="8"/>
      <c r="O56" s="9" t="s">
        <v>78</v>
      </c>
    </row>
    <row r="57" customFormat="false" ht="23.85" hidden="false" customHeight="false" outlineLevel="0" collapsed="false">
      <c r="A57" s="8" t="s">
        <v>182</v>
      </c>
      <c r="B57" s="9" t="s">
        <v>183</v>
      </c>
      <c r="C57" s="8" t="s">
        <v>74</v>
      </c>
      <c r="D57" s="9" t="s">
        <v>75</v>
      </c>
      <c r="E57" s="8" t="s">
        <v>76</v>
      </c>
      <c r="F57" s="8" t="s">
        <v>65</v>
      </c>
      <c r="G57" s="9" t="s">
        <v>83</v>
      </c>
      <c r="H57" s="8" t="s">
        <v>84</v>
      </c>
      <c r="I57" s="8"/>
      <c r="J57" s="8" t="n">
        <v>2</v>
      </c>
      <c r="K57" s="8" t="n">
        <v>2</v>
      </c>
      <c r="L57" s="8" t="n">
        <v>5</v>
      </c>
      <c r="M57" s="8" t="n">
        <v>10</v>
      </c>
      <c r="N57" s="8" t="n">
        <v>20</v>
      </c>
      <c r="O57" s="9" t="s">
        <v>86</v>
      </c>
    </row>
    <row r="58" customFormat="false" ht="23.85" hidden="false" customHeight="false" outlineLevel="0" collapsed="false">
      <c r="A58" s="8" t="s">
        <v>184</v>
      </c>
      <c r="B58" s="9" t="s">
        <v>185</v>
      </c>
      <c r="C58" s="8" t="s">
        <v>74</v>
      </c>
      <c r="D58" s="9" t="s">
        <v>75</v>
      </c>
      <c r="E58" s="8" t="s">
        <v>76</v>
      </c>
      <c r="F58" s="8" t="s">
        <v>65</v>
      </c>
      <c r="G58" s="9" t="s">
        <v>77</v>
      </c>
      <c r="H58" s="8" t="s">
        <v>55</v>
      </c>
      <c r="I58" s="8"/>
      <c r="J58" s="8" t="n">
        <v>2</v>
      </c>
      <c r="K58" s="8"/>
      <c r="L58" s="8"/>
      <c r="M58" s="8"/>
      <c r="N58" s="8"/>
      <c r="O58" s="9" t="s">
        <v>78</v>
      </c>
    </row>
    <row r="59" customFormat="false" ht="23.85" hidden="false" customHeight="false" outlineLevel="0" collapsed="false">
      <c r="A59" s="8" t="s">
        <v>186</v>
      </c>
      <c r="B59" s="9" t="s">
        <v>187</v>
      </c>
      <c r="C59" s="8" t="s">
        <v>74</v>
      </c>
      <c r="D59" s="9" t="s">
        <v>75</v>
      </c>
      <c r="E59" s="8" t="s">
        <v>76</v>
      </c>
      <c r="F59" s="8" t="s">
        <v>65</v>
      </c>
      <c r="G59" s="9" t="s">
        <v>83</v>
      </c>
      <c r="H59" s="8" t="s">
        <v>84</v>
      </c>
      <c r="I59" s="8"/>
      <c r="J59" s="8" t="n">
        <v>2</v>
      </c>
      <c r="K59" s="8" t="n">
        <v>20</v>
      </c>
      <c r="L59" s="8" t="n">
        <v>35</v>
      </c>
      <c r="M59" s="8" t="n">
        <v>45</v>
      </c>
      <c r="N59" s="8" t="n">
        <v>50</v>
      </c>
      <c r="O59" s="9" t="s">
        <v>86</v>
      </c>
    </row>
    <row r="60" customFormat="false" ht="23.85" hidden="false" customHeight="false" outlineLevel="0" collapsed="false">
      <c r="A60" s="8" t="s">
        <v>188</v>
      </c>
      <c r="B60" s="9" t="s">
        <v>189</v>
      </c>
      <c r="C60" s="8" t="s">
        <v>74</v>
      </c>
      <c r="D60" s="9" t="s">
        <v>75</v>
      </c>
      <c r="E60" s="8" t="s">
        <v>76</v>
      </c>
      <c r="F60" s="8" t="s">
        <v>65</v>
      </c>
      <c r="G60" s="9" t="s">
        <v>83</v>
      </c>
      <c r="H60" s="8" t="s">
        <v>84</v>
      </c>
      <c r="I60" s="8"/>
      <c r="J60" s="8" t="n">
        <v>3</v>
      </c>
      <c r="K60" s="8" t="n">
        <v>10</v>
      </c>
      <c r="L60" s="8" t="n">
        <v>25</v>
      </c>
      <c r="M60" s="8" t="n">
        <v>40</v>
      </c>
      <c r="N60" s="8" t="n">
        <v>50</v>
      </c>
      <c r="O60" s="9" t="s">
        <v>86</v>
      </c>
    </row>
    <row r="61" customFormat="false" ht="15" hidden="false" customHeight="false" outlineLevel="0" collapsed="false">
      <c r="A61" s="8" t="s">
        <v>190</v>
      </c>
      <c r="B61" s="9" t="s">
        <v>191</v>
      </c>
      <c r="C61" s="8" t="s">
        <v>192</v>
      </c>
      <c r="D61" s="9" t="s">
        <v>193</v>
      </c>
      <c r="E61" s="8" t="s">
        <v>194</v>
      </c>
      <c r="F61" s="8" t="s">
        <v>53</v>
      </c>
      <c r="G61" s="9" t="s">
        <v>83</v>
      </c>
      <c r="H61" s="8" t="s">
        <v>84</v>
      </c>
      <c r="I61" s="8"/>
      <c r="J61" s="8" t="n">
        <v>3</v>
      </c>
      <c r="K61" s="8" t="n">
        <v>25</v>
      </c>
      <c r="L61" s="8" t="n">
        <v>35</v>
      </c>
      <c r="M61" s="8" t="n">
        <v>45</v>
      </c>
      <c r="N61" s="8" t="n">
        <v>55</v>
      </c>
      <c r="O61" s="9" t="s">
        <v>86</v>
      </c>
    </row>
    <row r="62" customFormat="false" ht="15" hidden="false" customHeight="false" outlineLevel="0" collapsed="false">
      <c r="A62" s="8" t="s">
        <v>195</v>
      </c>
      <c r="B62" s="9" t="s">
        <v>196</v>
      </c>
      <c r="C62" s="8" t="s">
        <v>192</v>
      </c>
      <c r="D62" s="9" t="s">
        <v>193</v>
      </c>
      <c r="E62" s="8" t="s">
        <v>194</v>
      </c>
      <c r="F62" s="8" t="s">
        <v>53</v>
      </c>
      <c r="G62" s="9" t="s">
        <v>83</v>
      </c>
      <c r="H62" s="8" t="s">
        <v>84</v>
      </c>
      <c r="I62" s="8"/>
      <c r="J62" s="8" t="n">
        <v>3</v>
      </c>
      <c r="K62" s="8" t="n">
        <v>0.1</v>
      </c>
      <c r="L62" s="8" t="n">
        <v>0.5</v>
      </c>
      <c r="M62" s="8" t="n">
        <v>1</v>
      </c>
      <c r="N62" s="8" t="n">
        <v>2</v>
      </c>
      <c r="O62" s="9" t="s">
        <v>86</v>
      </c>
    </row>
    <row r="63" customFormat="false" ht="15" hidden="false" customHeight="false" outlineLevel="0" collapsed="false">
      <c r="A63" s="8" t="s">
        <v>197</v>
      </c>
      <c r="B63" s="9" t="s">
        <v>198</v>
      </c>
      <c r="C63" s="8" t="s">
        <v>192</v>
      </c>
      <c r="D63" s="9" t="s">
        <v>193</v>
      </c>
      <c r="E63" s="8" t="s">
        <v>194</v>
      </c>
      <c r="F63" s="8" t="s">
        <v>53</v>
      </c>
      <c r="G63" s="9" t="s">
        <v>83</v>
      </c>
      <c r="H63" s="8" t="s">
        <v>84</v>
      </c>
      <c r="I63" s="8"/>
      <c r="J63" s="8" t="n">
        <v>3</v>
      </c>
      <c r="K63" s="8" t="n">
        <v>30</v>
      </c>
      <c r="L63" s="8" t="n">
        <v>45</v>
      </c>
      <c r="M63" s="8" t="n">
        <v>60</v>
      </c>
      <c r="N63" s="8" t="n">
        <v>75</v>
      </c>
      <c r="O63" s="9" t="s">
        <v>86</v>
      </c>
    </row>
    <row r="64" customFormat="false" ht="15" hidden="false" customHeight="false" outlineLevel="0" collapsed="false">
      <c r="A64" s="8" t="s">
        <v>199</v>
      </c>
      <c r="B64" s="9" t="s">
        <v>200</v>
      </c>
      <c r="C64" s="8" t="s">
        <v>192</v>
      </c>
      <c r="D64" s="9" t="s">
        <v>193</v>
      </c>
      <c r="E64" s="8" t="s">
        <v>194</v>
      </c>
      <c r="F64" s="8" t="s">
        <v>65</v>
      </c>
      <c r="G64" s="9" t="s">
        <v>77</v>
      </c>
      <c r="H64" s="8" t="s">
        <v>55</v>
      </c>
      <c r="I64" s="8"/>
      <c r="J64" s="8" t="n">
        <v>2</v>
      </c>
      <c r="K64" s="8"/>
      <c r="L64" s="8"/>
      <c r="M64" s="8"/>
      <c r="N64" s="8"/>
      <c r="O64" s="9" t="s">
        <v>78</v>
      </c>
    </row>
    <row r="65" customFormat="false" ht="15" hidden="false" customHeight="false" outlineLevel="0" collapsed="false">
      <c r="A65" s="8" t="s">
        <v>201</v>
      </c>
      <c r="B65" s="9" t="s">
        <v>202</v>
      </c>
      <c r="C65" s="8" t="s">
        <v>192</v>
      </c>
      <c r="D65" s="9" t="s">
        <v>193</v>
      </c>
      <c r="E65" s="8" t="s">
        <v>194</v>
      </c>
      <c r="F65" s="8" t="s">
        <v>65</v>
      </c>
      <c r="G65" s="9" t="s">
        <v>77</v>
      </c>
      <c r="H65" s="8" t="s">
        <v>55</v>
      </c>
      <c r="I65" s="8"/>
      <c r="J65" s="8" t="n">
        <v>2</v>
      </c>
      <c r="K65" s="8"/>
      <c r="L65" s="8"/>
      <c r="M65" s="8"/>
      <c r="N65" s="8"/>
      <c r="O65" s="9" t="s">
        <v>78</v>
      </c>
    </row>
    <row r="66" customFormat="false" ht="15" hidden="false" customHeight="false" outlineLevel="0" collapsed="false">
      <c r="A66" s="8" t="s">
        <v>203</v>
      </c>
      <c r="B66" s="9" t="s">
        <v>204</v>
      </c>
      <c r="C66" s="8" t="s">
        <v>192</v>
      </c>
      <c r="D66" s="9" t="s">
        <v>193</v>
      </c>
      <c r="E66" s="8" t="s">
        <v>194</v>
      </c>
      <c r="F66" s="8" t="s">
        <v>65</v>
      </c>
      <c r="G66" s="9" t="s">
        <v>77</v>
      </c>
      <c r="H66" s="8" t="s">
        <v>55</v>
      </c>
      <c r="I66" s="8"/>
      <c r="J66" s="8" t="n">
        <v>2</v>
      </c>
      <c r="K66" s="8"/>
      <c r="L66" s="8"/>
      <c r="M66" s="8"/>
      <c r="N66" s="8"/>
      <c r="O66" s="9" t="s">
        <v>78</v>
      </c>
    </row>
    <row r="67" customFormat="false" ht="15" hidden="false" customHeight="false" outlineLevel="0" collapsed="false">
      <c r="A67" s="8" t="s">
        <v>205</v>
      </c>
      <c r="B67" s="9" t="s">
        <v>206</v>
      </c>
      <c r="C67" s="8" t="s">
        <v>192</v>
      </c>
      <c r="D67" s="9" t="s">
        <v>193</v>
      </c>
      <c r="E67" s="8" t="s">
        <v>194</v>
      </c>
      <c r="F67" s="8" t="s">
        <v>65</v>
      </c>
      <c r="G67" s="9" t="s">
        <v>83</v>
      </c>
      <c r="H67" s="8" t="s">
        <v>84</v>
      </c>
      <c r="I67" s="8"/>
      <c r="J67" s="8" t="n">
        <v>2</v>
      </c>
      <c r="K67" s="8" t="n">
        <v>5</v>
      </c>
      <c r="L67" s="8" t="n">
        <v>15</v>
      </c>
      <c r="M67" s="8" t="n">
        <v>30</v>
      </c>
      <c r="N67" s="8" t="n">
        <v>50</v>
      </c>
      <c r="O67" s="9" t="s">
        <v>86</v>
      </c>
    </row>
    <row r="68" customFormat="false" ht="15" hidden="false" customHeight="false" outlineLevel="0" collapsed="false">
      <c r="A68" s="8" t="s">
        <v>207</v>
      </c>
      <c r="B68" s="9" t="s">
        <v>208</v>
      </c>
      <c r="C68" s="8" t="s">
        <v>192</v>
      </c>
      <c r="D68" s="9" t="s">
        <v>193</v>
      </c>
      <c r="E68" s="8" t="s">
        <v>194</v>
      </c>
      <c r="F68" s="8" t="s">
        <v>65</v>
      </c>
      <c r="G68" s="9" t="s">
        <v>77</v>
      </c>
      <c r="H68" s="8" t="s">
        <v>55</v>
      </c>
      <c r="I68" s="8"/>
      <c r="J68" s="8" t="n">
        <v>2</v>
      </c>
      <c r="K68" s="8"/>
      <c r="L68" s="8"/>
      <c r="M68" s="8"/>
      <c r="N68" s="8"/>
      <c r="O68" s="9" t="s">
        <v>78</v>
      </c>
    </row>
    <row r="69" customFormat="false" ht="15" hidden="false" customHeight="false" outlineLevel="0" collapsed="false">
      <c r="A69" s="8" t="s">
        <v>209</v>
      </c>
      <c r="B69" s="9" t="s">
        <v>210</v>
      </c>
      <c r="C69" s="8" t="s">
        <v>192</v>
      </c>
      <c r="D69" s="9" t="s">
        <v>193</v>
      </c>
      <c r="E69" s="8" t="s">
        <v>194</v>
      </c>
      <c r="F69" s="8" t="s">
        <v>65</v>
      </c>
      <c r="G69" s="9" t="s">
        <v>77</v>
      </c>
      <c r="H69" s="8" t="s">
        <v>55</v>
      </c>
      <c r="I69" s="8"/>
      <c r="J69" s="8" t="n">
        <v>2</v>
      </c>
      <c r="K69" s="8"/>
      <c r="L69" s="8"/>
      <c r="M69" s="8"/>
      <c r="N69" s="8"/>
      <c r="O69" s="9" t="s">
        <v>78</v>
      </c>
    </row>
    <row r="70" customFormat="false" ht="23.85" hidden="false" customHeight="false" outlineLevel="0" collapsed="false">
      <c r="A70" s="8" t="s">
        <v>211</v>
      </c>
      <c r="B70" s="9" t="s">
        <v>212</v>
      </c>
      <c r="C70" s="8" t="s">
        <v>192</v>
      </c>
      <c r="D70" s="9" t="s">
        <v>193</v>
      </c>
      <c r="E70" s="8" t="s">
        <v>194</v>
      </c>
      <c r="F70" s="8" t="s">
        <v>65</v>
      </c>
      <c r="G70" s="9" t="s">
        <v>77</v>
      </c>
      <c r="H70" s="8" t="s">
        <v>55</v>
      </c>
      <c r="I70" s="8"/>
      <c r="J70" s="8" t="n">
        <v>2</v>
      </c>
      <c r="K70" s="8"/>
      <c r="L70" s="8"/>
      <c r="M70" s="8"/>
      <c r="N70" s="8"/>
      <c r="O70" s="9" t="s">
        <v>78</v>
      </c>
    </row>
    <row r="71" customFormat="false" ht="15" hidden="false" customHeight="false" outlineLevel="0" collapsed="false">
      <c r="A71" s="8" t="s">
        <v>213</v>
      </c>
      <c r="B71" s="9" t="s">
        <v>214</v>
      </c>
      <c r="C71" s="8" t="s">
        <v>192</v>
      </c>
      <c r="D71" s="9" t="s">
        <v>193</v>
      </c>
      <c r="E71" s="8" t="s">
        <v>194</v>
      </c>
      <c r="F71" s="8" t="s">
        <v>65</v>
      </c>
      <c r="G71" s="9" t="s">
        <v>77</v>
      </c>
      <c r="H71" s="8" t="s">
        <v>55</v>
      </c>
      <c r="I71" s="8"/>
      <c r="J71" s="8" t="n">
        <v>2</v>
      </c>
      <c r="K71" s="8"/>
      <c r="L71" s="8"/>
      <c r="M71" s="8"/>
      <c r="N71" s="8"/>
      <c r="O71" s="9" t="s">
        <v>78</v>
      </c>
    </row>
    <row r="72" customFormat="false" ht="15" hidden="false" customHeight="false" outlineLevel="0" collapsed="false">
      <c r="A72" s="8" t="s">
        <v>215</v>
      </c>
      <c r="B72" s="9" t="s">
        <v>216</v>
      </c>
      <c r="C72" s="8" t="s">
        <v>192</v>
      </c>
      <c r="D72" s="9" t="s">
        <v>193</v>
      </c>
      <c r="E72" s="8" t="s">
        <v>194</v>
      </c>
      <c r="F72" s="8" t="s">
        <v>65</v>
      </c>
      <c r="G72" s="9" t="s">
        <v>77</v>
      </c>
      <c r="H72" s="8" t="s">
        <v>55</v>
      </c>
      <c r="I72" s="8"/>
      <c r="J72" s="8" t="n">
        <v>2</v>
      </c>
      <c r="K72" s="8"/>
      <c r="L72" s="8"/>
      <c r="M72" s="8"/>
      <c r="N72" s="8"/>
      <c r="O72" s="9" t="s">
        <v>78</v>
      </c>
    </row>
    <row r="73" customFormat="false" ht="15" hidden="false" customHeight="false" outlineLevel="0" collapsed="false">
      <c r="A73" s="8" t="s">
        <v>217</v>
      </c>
      <c r="B73" s="9" t="s">
        <v>218</v>
      </c>
      <c r="C73" s="8" t="s">
        <v>192</v>
      </c>
      <c r="D73" s="9" t="s">
        <v>193</v>
      </c>
      <c r="E73" s="8" t="s">
        <v>194</v>
      </c>
      <c r="F73" s="8" t="s">
        <v>65</v>
      </c>
      <c r="G73" s="9" t="s">
        <v>83</v>
      </c>
      <c r="H73" s="8" t="s">
        <v>84</v>
      </c>
      <c r="I73" s="8"/>
      <c r="J73" s="8" t="n">
        <v>2</v>
      </c>
      <c r="K73" s="8" t="n">
        <v>10</v>
      </c>
      <c r="L73" s="8" t="n">
        <v>25</v>
      </c>
      <c r="M73" s="8" t="n">
        <v>50</v>
      </c>
      <c r="N73" s="8" t="n">
        <v>75</v>
      </c>
      <c r="O73" s="9" t="s">
        <v>86</v>
      </c>
    </row>
    <row r="74" customFormat="false" ht="15" hidden="false" customHeight="false" outlineLevel="0" collapsed="false">
      <c r="A74" s="10" t="s">
        <v>219</v>
      </c>
      <c r="B74" s="11" t="s">
        <v>220</v>
      </c>
      <c r="C74" s="10" t="s">
        <v>192</v>
      </c>
      <c r="D74" s="11" t="s">
        <v>193</v>
      </c>
      <c r="E74" s="10" t="s">
        <v>194</v>
      </c>
      <c r="F74" s="10" t="s">
        <v>65</v>
      </c>
      <c r="G74" s="11" t="s">
        <v>77</v>
      </c>
      <c r="H74" s="10" t="s">
        <v>55</v>
      </c>
      <c r="I74" s="12" t="s">
        <v>85</v>
      </c>
      <c r="J74" s="10" t="n">
        <v>2</v>
      </c>
      <c r="K74" s="10"/>
      <c r="L74" s="10"/>
      <c r="M74" s="10"/>
      <c r="N74" s="10"/>
      <c r="O74" s="11" t="s">
        <v>78</v>
      </c>
    </row>
    <row r="75" customFormat="false" ht="23.85" hidden="false" customHeight="false" outlineLevel="0" collapsed="false">
      <c r="A75" s="8" t="s">
        <v>221</v>
      </c>
      <c r="B75" s="9" t="s">
        <v>222</v>
      </c>
      <c r="C75" s="8" t="s">
        <v>223</v>
      </c>
      <c r="D75" s="9" t="s">
        <v>224</v>
      </c>
      <c r="E75" s="8" t="s">
        <v>194</v>
      </c>
      <c r="F75" s="8" t="s">
        <v>53</v>
      </c>
      <c r="G75" s="9" t="s">
        <v>83</v>
      </c>
      <c r="H75" s="8" t="s">
        <v>84</v>
      </c>
      <c r="I75" s="8"/>
      <c r="J75" s="8" t="n">
        <v>3</v>
      </c>
      <c r="K75" s="8" t="n">
        <v>1</v>
      </c>
      <c r="L75" s="8" t="n">
        <v>5</v>
      </c>
      <c r="M75" s="8" t="n">
        <v>20</v>
      </c>
      <c r="N75" s="8" t="n">
        <v>50</v>
      </c>
      <c r="O75" s="9" t="s">
        <v>86</v>
      </c>
    </row>
    <row r="76" customFormat="false" ht="23.85" hidden="false" customHeight="false" outlineLevel="0" collapsed="false">
      <c r="A76" s="8" t="s">
        <v>225</v>
      </c>
      <c r="B76" s="9" t="s">
        <v>226</v>
      </c>
      <c r="C76" s="8" t="s">
        <v>223</v>
      </c>
      <c r="D76" s="9" t="s">
        <v>224</v>
      </c>
      <c r="E76" s="8" t="s">
        <v>194</v>
      </c>
      <c r="F76" s="8" t="s">
        <v>65</v>
      </c>
      <c r="G76" s="9" t="s">
        <v>77</v>
      </c>
      <c r="H76" s="8" t="s">
        <v>55</v>
      </c>
      <c r="I76" s="8"/>
      <c r="J76" s="8" t="n">
        <v>2</v>
      </c>
      <c r="K76" s="8"/>
      <c r="L76" s="8"/>
      <c r="M76" s="8"/>
      <c r="N76" s="8"/>
      <c r="O76" s="9" t="s">
        <v>78</v>
      </c>
    </row>
    <row r="77" customFormat="false" ht="23.85" hidden="false" customHeight="false" outlineLevel="0" collapsed="false">
      <c r="A77" s="8" t="s">
        <v>227</v>
      </c>
      <c r="B77" s="9" t="s">
        <v>228</v>
      </c>
      <c r="C77" s="8" t="s">
        <v>223</v>
      </c>
      <c r="D77" s="9" t="s">
        <v>224</v>
      </c>
      <c r="E77" s="8" t="s">
        <v>194</v>
      </c>
      <c r="F77" s="8" t="s">
        <v>65</v>
      </c>
      <c r="G77" s="9" t="s">
        <v>83</v>
      </c>
      <c r="H77" s="8" t="s">
        <v>84</v>
      </c>
      <c r="I77" s="8"/>
      <c r="J77" s="8" t="n">
        <v>2</v>
      </c>
      <c r="K77" s="8" t="n">
        <v>2</v>
      </c>
      <c r="L77" s="8" t="n">
        <v>10</v>
      </c>
      <c r="M77" s="8" t="n">
        <v>25</v>
      </c>
      <c r="N77" s="8" t="n">
        <v>50</v>
      </c>
      <c r="O77" s="9" t="s">
        <v>86</v>
      </c>
    </row>
    <row r="78" customFormat="false" ht="23.85" hidden="false" customHeight="false" outlineLevel="0" collapsed="false">
      <c r="A78" s="8" t="s">
        <v>229</v>
      </c>
      <c r="B78" s="9" t="s">
        <v>230</v>
      </c>
      <c r="C78" s="8" t="s">
        <v>223</v>
      </c>
      <c r="D78" s="9" t="s">
        <v>224</v>
      </c>
      <c r="E78" s="8" t="s">
        <v>194</v>
      </c>
      <c r="F78" s="8" t="s">
        <v>65</v>
      </c>
      <c r="G78" s="9" t="s">
        <v>83</v>
      </c>
      <c r="H78" s="8" t="s">
        <v>84</v>
      </c>
      <c r="I78" s="8"/>
      <c r="J78" s="8" t="n">
        <v>2</v>
      </c>
      <c r="K78" s="8" t="n">
        <v>10</v>
      </c>
      <c r="L78" s="8" t="n">
        <v>25</v>
      </c>
      <c r="M78" s="8" t="n">
        <v>50</v>
      </c>
      <c r="N78" s="8" t="n">
        <v>75</v>
      </c>
      <c r="O78" s="9" t="s">
        <v>86</v>
      </c>
    </row>
    <row r="79" customFormat="false" ht="23.85" hidden="false" customHeight="false" outlineLevel="0" collapsed="false">
      <c r="A79" s="8" t="s">
        <v>231</v>
      </c>
      <c r="B79" s="9" t="s">
        <v>232</v>
      </c>
      <c r="C79" s="8" t="s">
        <v>223</v>
      </c>
      <c r="D79" s="9" t="s">
        <v>224</v>
      </c>
      <c r="E79" s="8" t="s">
        <v>194</v>
      </c>
      <c r="F79" s="8" t="s">
        <v>65</v>
      </c>
      <c r="G79" s="9" t="s">
        <v>83</v>
      </c>
      <c r="H79" s="8" t="s">
        <v>84</v>
      </c>
      <c r="I79" s="8"/>
      <c r="J79" s="8" t="n">
        <v>2</v>
      </c>
      <c r="K79" s="8" t="n">
        <v>10</v>
      </c>
      <c r="L79" s="8" t="n">
        <v>25</v>
      </c>
      <c r="M79" s="8" t="n">
        <v>50</v>
      </c>
      <c r="N79" s="8" t="n">
        <v>75</v>
      </c>
      <c r="O79" s="9" t="s">
        <v>86</v>
      </c>
    </row>
    <row r="80" customFormat="false" ht="23.85" hidden="false" customHeight="false" outlineLevel="0" collapsed="false">
      <c r="A80" s="8" t="s">
        <v>233</v>
      </c>
      <c r="B80" s="9" t="s">
        <v>234</v>
      </c>
      <c r="C80" s="8" t="s">
        <v>223</v>
      </c>
      <c r="D80" s="9" t="s">
        <v>224</v>
      </c>
      <c r="E80" s="8" t="s">
        <v>194</v>
      </c>
      <c r="F80" s="8" t="s">
        <v>65</v>
      </c>
      <c r="G80" s="9" t="s">
        <v>83</v>
      </c>
      <c r="H80" s="8" t="s">
        <v>84</v>
      </c>
      <c r="I80" s="8"/>
      <c r="J80" s="8" t="n">
        <v>2</v>
      </c>
      <c r="K80" s="8" t="n">
        <v>10</v>
      </c>
      <c r="L80" s="8" t="n">
        <v>25</v>
      </c>
      <c r="M80" s="8" t="n">
        <v>50</v>
      </c>
      <c r="N80" s="8" t="n">
        <v>75</v>
      </c>
      <c r="O80" s="9" t="s">
        <v>86</v>
      </c>
    </row>
    <row r="81" customFormat="false" ht="23.85" hidden="false" customHeight="false" outlineLevel="0" collapsed="false">
      <c r="A81" s="8" t="s">
        <v>235</v>
      </c>
      <c r="B81" s="9" t="s">
        <v>236</v>
      </c>
      <c r="C81" s="8" t="s">
        <v>223</v>
      </c>
      <c r="D81" s="9" t="s">
        <v>224</v>
      </c>
      <c r="E81" s="8" t="s">
        <v>194</v>
      </c>
      <c r="F81" s="8" t="s">
        <v>65</v>
      </c>
      <c r="G81" s="9" t="s">
        <v>83</v>
      </c>
      <c r="H81" s="8" t="s">
        <v>84</v>
      </c>
      <c r="I81" s="8"/>
      <c r="J81" s="8" t="n">
        <v>2</v>
      </c>
      <c r="K81" s="8" t="n">
        <v>10</v>
      </c>
      <c r="L81" s="8" t="n">
        <v>25</v>
      </c>
      <c r="M81" s="8" t="n">
        <v>50</v>
      </c>
      <c r="N81" s="8" t="n">
        <v>75</v>
      </c>
      <c r="O81" s="9" t="s">
        <v>86</v>
      </c>
    </row>
    <row r="82" customFormat="false" ht="23.85" hidden="false" customHeight="false" outlineLevel="0" collapsed="false">
      <c r="A82" s="8" t="s">
        <v>237</v>
      </c>
      <c r="B82" s="9" t="s">
        <v>238</v>
      </c>
      <c r="C82" s="8" t="s">
        <v>223</v>
      </c>
      <c r="D82" s="9" t="s">
        <v>224</v>
      </c>
      <c r="E82" s="8" t="s">
        <v>194</v>
      </c>
      <c r="F82" s="8" t="s">
        <v>65</v>
      </c>
      <c r="G82" s="9" t="s">
        <v>77</v>
      </c>
      <c r="H82" s="8" t="s">
        <v>55</v>
      </c>
      <c r="I82" s="8"/>
      <c r="J82" s="8" t="n">
        <v>2</v>
      </c>
      <c r="K82" s="8"/>
      <c r="L82" s="8"/>
      <c r="M82" s="8"/>
      <c r="N82" s="8"/>
      <c r="O82" s="9" t="s">
        <v>78</v>
      </c>
    </row>
    <row r="83" customFormat="false" ht="23.85" hidden="false" customHeight="false" outlineLevel="0" collapsed="false">
      <c r="A83" s="10" t="s">
        <v>239</v>
      </c>
      <c r="B83" s="11" t="s">
        <v>240</v>
      </c>
      <c r="C83" s="10" t="s">
        <v>223</v>
      </c>
      <c r="D83" s="11" t="s">
        <v>224</v>
      </c>
      <c r="E83" s="10" t="s">
        <v>194</v>
      </c>
      <c r="F83" s="10" t="s">
        <v>65</v>
      </c>
      <c r="G83" s="11" t="s">
        <v>77</v>
      </c>
      <c r="H83" s="10" t="s">
        <v>55</v>
      </c>
      <c r="I83" s="12" t="s">
        <v>85</v>
      </c>
      <c r="J83" s="10" t="n">
        <v>2</v>
      </c>
      <c r="K83" s="10"/>
      <c r="L83" s="10"/>
      <c r="M83" s="10"/>
      <c r="N83" s="10"/>
      <c r="O83" s="11" t="s">
        <v>78</v>
      </c>
    </row>
    <row r="84" customFormat="false" ht="23.85" hidden="false" customHeight="false" outlineLevel="0" collapsed="false">
      <c r="A84" s="8" t="s">
        <v>241</v>
      </c>
      <c r="B84" s="9" t="s">
        <v>242</v>
      </c>
      <c r="C84" s="8" t="s">
        <v>223</v>
      </c>
      <c r="D84" s="9" t="s">
        <v>224</v>
      </c>
      <c r="E84" s="8" t="s">
        <v>194</v>
      </c>
      <c r="F84" s="8" t="s">
        <v>65</v>
      </c>
      <c r="G84" s="9" t="s">
        <v>77</v>
      </c>
      <c r="H84" s="8" t="s">
        <v>55</v>
      </c>
      <c r="I84" s="8"/>
      <c r="J84" s="8" t="n">
        <v>2</v>
      </c>
      <c r="K84" s="8"/>
      <c r="L84" s="8"/>
      <c r="M84" s="8"/>
      <c r="N84" s="8"/>
      <c r="O84" s="9" t="s">
        <v>78</v>
      </c>
    </row>
    <row r="85" customFormat="false" ht="23.85" hidden="false" customHeight="false" outlineLevel="0" collapsed="false">
      <c r="A85" s="8" t="s">
        <v>243</v>
      </c>
      <c r="B85" s="9" t="s">
        <v>244</v>
      </c>
      <c r="C85" s="8" t="s">
        <v>223</v>
      </c>
      <c r="D85" s="9" t="s">
        <v>224</v>
      </c>
      <c r="E85" s="8" t="s">
        <v>194</v>
      </c>
      <c r="F85" s="8" t="s">
        <v>65</v>
      </c>
      <c r="G85" s="9" t="s">
        <v>77</v>
      </c>
      <c r="H85" s="8" t="s">
        <v>55</v>
      </c>
      <c r="I85" s="8"/>
      <c r="J85" s="8" t="n">
        <v>2</v>
      </c>
      <c r="K85" s="8"/>
      <c r="L85" s="8"/>
      <c r="M85" s="8"/>
      <c r="N85" s="8"/>
      <c r="O85" s="9" t="s">
        <v>78</v>
      </c>
    </row>
    <row r="86" customFormat="false" ht="23.85" hidden="false" customHeight="false" outlineLevel="0" collapsed="false">
      <c r="A86" s="10" t="s">
        <v>245</v>
      </c>
      <c r="B86" s="11" t="s">
        <v>246</v>
      </c>
      <c r="C86" s="10" t="s">
        <v>223</v>
      </c>
      <c r="D86" s="11" t="s">
        <v>224</v>
      </c>
      <c r="E86" s="10" t="s">
        <v>194</v>
      </c>
      <c r="F86" s="10" t="s">
        <v>65</v>
      </c>
      <c r="G86" s="11" t="s">
        <v>77</v>
      </c>
      <c r="H86" s="10" t="s">
        <v>55</v>
      </c>
      <c r="I86" s="12" t="s">
        <v>85</v>
      </c>
      <c r="J86" s="10" t="n">
        <v>2</v>
      </c>
      <c r="K86" s="10"/>
      <c r="L86" s="10"/>
      <c r="M86" s="10"/>
      <c r="N86" s="10"/>
      <c r="O86" s="11" t="s">
        <v>78</v>
      </c>
    </row>
    <row r="87" customFormat="false" ht="23.85" hidden="false" customHeight="false" outlineLevel="0" collapsed="false">
      <c r="A87" s="8" t="s">
        <v>247</v>
      </c>
      <c r="B87" s="9" t="s">
        <v>248</v>
      </c>
      <c r="C87" s="8" t="s">
        <v>249</v>
      </c>
      <c r="D87" s="9" t="s">
        <v>250</v>
      </c>
      <c r="E87" s="8" t="s">
        <v>251</v>
      </c>
      <c r="F87" s="8" t="s">
        <v>53</v>
      </c>
      <c r="G87" s="9" t="s">
        <v>83</v>
      </c>
      <c r="H87" s="8" t="s">
        <v>95</v>
      </c>
      <c r="I87" s="8"/>
      <c r="J87" s="8" t="n">
        <v>3</v>
      </c>
      <c r="K87" s="8" t="n">
        <v>25</v>
      </c>
      <c r="L87" s="8" t="n">
        <v>15</v>
      </c>
      <c r="M87" s="8" t="n">
        <v>7.5</v>
      </c>
      <c r="N87" s="8" t="n">
        <v>2.5</v>
      </c>
      <c r="O87" s="9" t="s">
        <v>86</v>
      </c>
    </row>
    <row r="88" customFormat="false" ht="23.85" hidden="false" customHeight="false" outlineLevel="0" collapsed="false">
      <c r="A88" s="8" t="s">
        <v>252</v>
      </c>
      <c r="B88" s="9" t="s">
        <v>253</v>
      </c>
      <c r="C88" s="8" t="s">
        <v>249</v>
      </c>
      <c r="D88" s="9" t="s">
        <v>250</v>
      </c>
      <c r="E88" s="8" t="s">
        <v>251</v>
      </c>
      <c r="F88" s="8" t="s">
        <v>53</v>
      </c>
      <c r="G88" s="9" t="s">
        <v>83</v>
      </c>
      <c r="H88" s="8" t="s">
        <v>84</v>
      </c>
      <c r="I88" s="8"/>
      <c r="J88" s="8" t="n">
        <v>3</v>
      </c>
      <c r="K88" s="8" t="n">
        <v>20</v>
      </c>
      <c r="L88" s="8" t="n">
        <v>40</v>
      </c>
      <c r="M88" s="8" t="n">
        <v>60</v>
      </c>
      <c r="N88" s="8" t="n">
        <v>80</v>
      </c>
      <c r="O88" s="9" t="s">
        <v>86</v>
      </c>
    </row>
    <row r="89" customFormat="false" ht="23.85" hidden="false" customHeight="false" outlineLevel="0" collapsed="false">
      <c r="A89" s="8" t="s">
        <v>254</v>
      </c>
      <c r="B89" s="9" t="s">
        <v>255</v>
      </c>
      <c r="C89" s="8" t="s">
        <v>249</v>
      </c>
      <c r="D89" s="9" t="s">
        <v>250</v>
      </c>
      <c r="E89" s="8" t="s">
        <v>251</v>
      </c>
      <c r="F89" s="8" t="s">
        <v>53</v>
      </c>
      <c r="G89" s="9" t="s">
        <v>83</v>
      </c>
      <c r="H89" s="8" t="s">
        <v>95</v>
      </c>
      <c r="I89" s="8"/>
      <c r="J89" s="8" t="n">
        <v>3</v>
      </c>
      <c r="K89" s="8" t="n">
        <v>25</v>
      </c>
      <c r="L89" s="8" t="n">
        <v>15</v>
      </c>
      <c r="M89" s="8" t="n">
        <v>8</v>
      </c>
      <c r="N89" s="8" t="n">
        <v>3</v>
      </c>
      <c r="O89" s="9" t="s">
        <v>86</v>
      </c>
    </row>
    <row r="90" customFormat="false" ht="23.85" hidden="false" customHeight="false" outlineLevel="0" collapsed="false">
      <c r="A90" s="8" t="s">
        <v>256</v>
      </c>
      <c r="B90" s="9" t="s">
        <v>257</v>
      </c>
      <c r="C90" s="8" t="s">
        <v>249</v>
      </c>
      <c r="D90" s="9" t="s">
        <v>250</v>
      </c>
      <c r="E90" s="8" t="s">
        <v>251</v>
      </c>
      <c r="F90" s="8" t="s">
        <v>53</v>
      </c>
      <c r="G90" s="9" t="s">
        <v>83</v>
      </c>
      <c r="H90" s="8" t="s">
        <v>84</v>
      </c>
      <c r="I90" s="8"/>
      <c r="J90" s="8" t="n">
        <v>3</v>
      </c>
      <c r="K90" s="8" t="n">
        <v>10</v>
      </c>
      <c r="L90" s="8" t="n">
        <v>25</v>
      </c>
      <c r="M90" s="8" t="n">
        <v>50</v>
      </c>
      <c r="N90" s="8" t="n">
        <v>75</v>
      </c>
      <c r="O90" s="9" t="s">
        <v>86</v>
      </c>
    </row>
    <row r="91" customFormat="false" ht="23.85" hidden="false" customHeight="false" outlineLevel="0" collapsed="false">
      <c r="A91" s="8" t="s">
        <v>258</v>
      </c>
      <c r="B91" s="9" t="s">
        <v>259</v>
      </c>
      <c r="C91" s="8" t="s">
        <v>249</v>
      </c>
      <c r="D91" s="9" t="s">
        <v>250</v>
      </c>
      <c r="E91" s="8" t="s">
        <v>251</v>
      </c>
      <c r="F91" s="8" t="s">
        <v>53</v>
      </c>
      <c r="G91" s="9" t="s">
        <v>83</v>
      </c>
      <c r="H91" s="8" t="s">
        <v>84</v>
      </c>
      <c r="I91" s="8"/>
      <c r="J91" s="8" t="n">
        <v>3</v>
      </c>
      <c r="K91" s="8" t="n">
        <v>10</v>
      </c>
      <c r="L91" s="8" t="n">
        <v>25</v>
      </c>
      <c r="M91" s="8" t="n">
        <v>40</v>
      </c>
      <c r="N91" s="8" t="n">
        <v>50</v>
      </c>
      <c r="O91" s="9" t="s">
        <v>86</v>
      </c>
    </row>
    <row r="92" customFormat="false" ht="23.85" hidden="false" customHeight="false" outlineLevel="0" collapsed="false">
      <c r="A92" s="8" t="s">
        <v>260</v>
      </c>
      <c r="B92" s="9" t="s">
        <v>261</v>
      </c>
      <c r="C92" s="8" t="s">
        <v>249</v>
      </c>
      <c r="D92" s="9" t="s">
        <v>250</v>
      </c>
      <c r="E92" s="8" t="s">
        <v>251</v>
      </c>
      <c r="F92" s="8" t="s">
        <v>65</v>
      </c>
      <c r="G92" s="9" t="s">
        <v>83</v>
      </c>
      <c r="H92" s="8" t="s">
        <v>95</v>
      </c>
      <c r="I92" s="8"/>
      <c r="J92" s="8" t="n">
        <v>3</v>
      </c>
      <c r="K92" s="8" t="n">
        <v>20</v>
      </c>
      <c r="L92" s="8" t="n">
        <v>10</v>
      </c>
      <c r="M92" s="8" t="n">
        <v>5</v>
      </c>
      <c r="N92" s="8" t="n">
        <v>2</v>
      </c>
      <c r="O92" s="9" t="s">
        <v>86</v>
      </c>
    </row>
    <row r="93" customFormat="false" ht="23.85" hidden="false" customHeight="false" outlineLevel="0" collapsed="false">
      <c r="A93" s="8" t="s">
        <v>262</v>
      </c>
      <c r="B93" s="9" t="s">
        <v>263</v>
      </c>
      <c r="C93" s="8" t="s">
        <v>249</v>
      </c>
      <c r="D93" s="9" t="s">
        <v>250</v>
      </c>
      <c r="E93" s="8" t="s">
        <v>251</v>
      </c>
      <c r="F93" s="8" t="s">
        <v>65</v>
      </c>
      <c r="G93" s="9" t="s">
        <v>83</v>
      </c>
      <c r="H93" s="8" t="s">
        <v>84</v>
      </c>
      <c r="I93" s="8"/>
      <c r="J93" s="8" t="n">
        <v>3</v>
      </c>
      <c r="K93" s="8" t="n">
        <v>10</v>
      </c>
      <c r="L93" s="8" t="n">
        <v>25</v>
      </c>
      <c r="M93" s="8" t="n">
        <v>50</v>
      </c>
      <c r="N93" s="8" t="n">
        <v>75</v>
      </c>
      <c r="O93" s="9" t="s">
        <v>86</v>
      </c>
    </row>
    <row r="94" customFormat="false" ht="23.85" hidden="false" customHeight="false" outlineLevel="0" collapsed="false">
      <c r="A94" s="8" t="s">
        <v>264</v>
      </c>
      <c r="B94" s="9" t="s">
        <v>265</v>
      </c>
      <c r="C94" s="8" t="s">
        <v>249</v>
      </c>
      <c r="D94" s="9" t="s">
        <v>250</v>
      </c>
      <c r="E94" s="8" t="s">
        <v>251</v>
      </c>
      <c r="F94" s="8" t="s">
        <v>65</v>
      </c>
      <c r="G94" s="9" t="s">
        <v>83</v>
      </c>
      <c r="H94" s="8" t="s">
        <v>84</v>
      </c>
      <c r="I94" s="8"/>
      <c r="J94" s="8" t="n">
        <v>3</v>
      </c>
      <c r="K94" s="8" t="n">
        <v>10</v>
      </c>
      <c r="L94" s="8" t="n">
        <v>25</v>
      </c>
      <c r="M94" s="8" t="n">
        <v>50</v>
      </c>
      <c r="N94" s="8" t="n">
        <v>75</v>
      </c>
      <c r="O94" s="9" t="s">
        <v>86</v>
      </c>
    </row>
    <row r="95" customFormat="false" ht="23.85" hidden="false" customHeight="false" outlineLevel="0" collapsed="false">
      <c r="A95" s="8" t="s">
        <v>266</v>
      </c>
      <c r="B95" s="9" t="s">
        <v>267</v>
      </c>
      <c r="C95" s="8" t="s">
        <v>249</v>
      </c>
      <c r="D95" s="9" t="s">
        <v>250</v>
      </c>
      <c r="E95" s="8" t="s">
        <v>251</v>
      </c>
      <c r="F95" s="8" t="s">
        <v>65</v>
      </c>
      <c r="G95" s="9" t="s">
        <v>83</v>
      </c>
      <c r="H95" s="8" t="s">
        <v>84</v>
      </c>
      <c r="I95" s="8"/>
      <c r="J95" s="8" t="n">
        <v>3</v>
      </c>
      <c r="K95" s="8" t="n">
        <v>10</v>
      </c>
      <c r="L95" s="8" t="n">
        <v>25</v>
      </c>
      <c r="M95" s="8" t="n">
        <v>50</v>
      </c>
      <c r="N95" s="8" t="n">
        <v>75</v>
      </c>
      <c r="O95" s="9" t="s">
        <v>86</v>
      </c>
    </row>
    <row r="96" customFormat="false" ht="23.85" hidden="false" customHeight="false" outlineLevel="0" collapsed="false">
      <c r="A96" s="8" t="s">
        <v>268</v>
      </c>
      <c r="B96" s="9" t="s">
        <v>269</v>
      </c>
      <c r="C96" s="8" t="s">
        <v>249</v>
      </c>
      <c r="D96" s="9" t="s">
        <v>250</v>
      </c>
      <c r="E96" s="8" t="s">
        <v>251</v>
      </c>
      <c r="F96" s="8" t="s">
        <v>65</v>
      </c>
      <c r="G96" s="9" t="s">
        <v>83</v>
      </c>
      <c r="H96" s="8" t="s">
        <v>84</v>
      </c>
      <c r="I96" s="8"/>
      <c r="J96" s="8" t="n">
        <v>3</v>
      </c>
      <c r="K96" s="8" t="n">
        <v>20</v>
      </c>
      <c r="L96" s="8" t="n">
        <v>40</v>
      </c>
      <c r="M96" s="8" t="n">
        <v>60</v>
      </c>
      <c r="N96" s="8" t="n">
        <v>80</v>
      </c>
      <c r="O96" s="9" t="s">
        <v>86</v>
      </c>
    </row>
    <row r="97" customFormat="false" ht="23.85" hidden="false" customHeight="false" outlineLevel="0" collapsed="false">
      <c r="A97" s="8" t="s">
        <v>270</v>
      </c>
      <c r="B97" s="9" t="s">
        <v>271</v>
      </c>
      <c r="C97" s="8" t="s">
        <v>249</v>
      </c>
      <c r="D97" s="9" t="s">
        <v>250</v>
      </c>
      <c r="E97" s="8" t="s">
        <v>251</v>
      </c>
      <c r="F97" s="8" t="s">
        <v>65</v>
      </c>
      <c r="G97" s="9" t="s">
        <v>83</v>
      </c>
      <c r="H97" s="8" t="s">
        <v>84</v>
      </c>
      <c r="I97" s="8"/>
      <c r="J97" s="8" t="n">
        <v>3</v>
      </c>
      <c r="K97" s="8" t="n">
        <v>25</v>
      </c>
      <c r="L97" s="8" t="n">
        <v>50</v>
      </c>
      <c r="M97" s="8" t="n">
        <v>75</v>
      </c>
      <c r="N97" s="8" t="n">
        <v>90</v>
      </c>
      <c r="O97" s="9" t="s">
        <v>86</v>
      </c>
    </row>
    <row r="98" customFormat="false" ht="23.85" hidden="false" customHeight="false" outlineLevel="0" collapsed="false">
      <c r="A98" s="8" t="s">
        <v>272</v>
      </c>
      <c r="B98" s="9" t="s">
        <v>273</v>
      </c>
      <c r="C98" s="8" t="s">
        <v>249</v>
      </c>
      <c r="D98" s="9" t="s">
        <v>250</v>
      </c>
      <c r="E98" s="8" t="s">
        <v>251</v>
      </c>
      <c r="F98" s="8" t="s">
        <v>65</v>
      </c>
      <c r="G98" s="9" t="s">
        <v>274</v>
      </c>
      <c r="H98" s="8" t="s">
        <v>55</v>
      </c>
      <c r="I98" s="8"/>
      <c r="J98" s="8" t="n">
        <v>3</v>
      </c>
      <c r="K98" s="8"/>
      <c r="L98" s="8"/>
      <c r="M98" s="8"/>
      <c r="N98" s="8"/>
      <c r="O98" s="9" t="s">
        <v>78</v>
      </c>
    </row>
    <row r="99" customFormat="false" ht="23.85" hidden="false" customHeight="false" outlineLevel="0" collapsed="false">
      <c r="A99" s="8" t="s">
        <v>275</v>
      </c>
      <c r="B99" s="9" t="s">
        <v>276</v>
      </c>
      <c r="C99" s="8" t="s">
        <v>249</v>
      </c>
      <c r="D99" s="9" t="s">
        <v>250</v>
      </c>
      <c r="E99" s="8" t="s">
        <v>251</v>
      </c>
      <c r="F99" s="8" t="s">
        <v>65</v>
      </c>
      <c r="G99" s="9" t="s">
        <v>274</v>
      </c>
      <c r="H99" s="8" t="s">
        <v>55</v>
      </c>
      <c r="I99" s="8"/>
      <c r="J99" s="8" t="n">
        <v>3</v>
      </c>
      <c r="K99" s="8"/>
      <c r="L99" s="8"/>
      <c r="M99" s="8"/>
      <c r="N99" s="8"/>
      <c r="O99" s="9" t="s">
        <v>78</v>
      </c>
    </row>
    <row r="100" customFormat="false" ht="23.85" hidden="false" customHeight="false" outlineLevel="0" collapsed="false">
      <c r="A100" s="8" t="s">
        <v>277</v>
      </c>
      <c r="B100" s="9" t="s">
        <v>278</v>
      </c>
      <c r="C100" s="8" t="s">
        <v>249</v>
      </c>
      <c r="D100" s="9" t="s">
        <v>250</v>
      </c>
      <c r="E100" s="8" t="s">
        <v>251</v>
      </c>
      <c r="F100" s="8" t="s">
        <v>65</v>
      </c>
      <c r="G100" s="9" t="s">
        <v>83</v>
      </c>
      <c r="H100" s="8" t="s">
        <v>84</v>
      </c>
      <c r="I100" s="8"/>
      <c r="J100" s="8" t="n">
        <v>3</v>
      </c>
      <c r="K100" s="8" t="n">
        <v>10</v>
      </c>
      <c r="L100" s="8" t="n">
        <v>25</v>
      </c>
      <c r="M100" s="8" t="n">
        <v>50</v>
      </c>
      <c r="N100" s="8" t="n">
        <v>75</v>
      </c>
      <c r="O100" s="9" t="s">
        <v>86</v>
      </c>
    </row>
    <row r="101" customFormat="false" ht="23.85" hidden="false" customHeight="false" outlineLevel="0" collapsed="false">
      <c r="A101" s="8" t="s">
        <v>279</v>
      </c>
      <c r="B101" s="9" t="s">
        <v>280</v>
      </c>
      <c r="C101" s="8" t="s">
        <v>249</v>
      </c>
      <c r="D101" s="9" t="s">
        <v>250</v>
      </c>
      <c r="E101" s="8" t="s">
        <v>251</v>
      </c>
      <c r="F101" s="8" t="s">
        <v>65</v>
      </c>
      <c r="G101" s="9" t="s">
        <v>83</v>
      </c>
      <c r="H101" s="8" t="s">
        <v>84</v>
      </c>
      <c r="I101" s="8"/>
      <c r="J101" s="8" t="n">
        <v>3</v>
      </c>
      <c r="K101" s="8" t="n">
        <v>20</v>
      </c>
      <c r="L101" s="8" t="n">
        <v>40</v>
      </c>
      <c r="M101" s="8" t="n">
        <v>60</v>
      </c>
      <c r="N101" s="8" t="n">
        <v>80</v>
      </c>
      <c r="O101" s="9" t="s">
        <v>86</v>
      </c>
    </row>
    <row r="102" customFormat="false" ht="23.85" hidden="false" customHeight="false" outlineLevel="0" collapsed="false">
      <c r="A102" s="8" t="s">
        <v>281</v>
      </c>
      <c r="B102" s="9" t="s">
        <v>282</v>
      </c>
      <c r="C102" s="8" t="s">
        <v>249</v>
      </c>
      <c r="D102" s="9" t="s">
        <v>250</v>
      </c>
      <c r="E102" s="8" t="s">
        <v>251</v>
      </c>
      <c r="F102" s="8" t="s">
        <v>65</v>
      </c>
      <c r="G102" s="9" t="s">
        <v>77</v>
      </c>
      <c r="H102" s="8" t="s">
        <v>55</v>
      </c>
      <c r="I102" s="8"/>
      <c r="J102" s="8" t="n">
        <v>3</v>
      </c>
      <c r="K102" s="8"/>
      <c r="L102" s="8"/>
      <c r="M102" s="8"/>
      <c r="N102" s="8"/>
      <c r="O102" s="9" t="s">
        <v>78</v>
      </c>
    </row>
    <row r="103" customFormat="false" ht="23.85" hidden="false" customHeight="false" outlineLevel="0" collapsed="false">
      <c r="A103" s="8" t="s">
        <v>283</v>
      </c>
      <c r="B103" s="9" t="s">
        <v>284</v>
      </c>
      <c r="C103" s="8" t="s">
        <v>249</v>
      </c>
      <c r="D103" s="9" t="s">
        <v>250</v>
      </c>
      <c r="E103" s="8" t="s">
        <v>251</v>
      </c>
      <c r="F103" s="8" t="s">
        <v>65</v>
      </c>
      <c r="G103" s="9" t="s">
        <v>83</v>
      </c>
      <c r="H103" s="8" t="s">
        <v>84</v>
      </c>
      <c r="I103" s="8"/>
      <c r="J103" s="8" t="n">
        <v>2</v>
      </c>
      <c r="K103" s="8" t="n">
        <v>20</v>
      </c>
      <c r="L103" s="8" t="n">
        <v>40</v>
      </c>
      <c r="M103" s="8" t="n">
        <v>60</v>
      </c>
      <c r="N103" s="8" t="n">
        <v>80</v>
      </c>
      <c r="O103" s="9" t="s">
        <v>86</v>
      </c>
    </row>
  </sheetData>
  <autoFilter ref="A1:O103"/>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2" min="2" style="0" width="32"/>
    <col collapsed="false" customWidth="true" hidden="false" outlineLevel="0" max="3" min="3" style="0" width="20"/>
    <col collapsed="false" customWidth="true" hidden="false" outlineLevel="0" max="8" min="4" style="0" width="38"/>
  </cols>
  <sheetData>
    <row r="1" customFormat="false" ht="15" hidden="false" customHeight="false" outlineLevel="0" collapsed="false">
      <c r="A1" s="7" t="s">
        <v>34</v>
      </c>
      <c r="B1" s="7" t="s">
        <v>35</v>
      </c>
      <c r="C1" s="7" t="s">
        <v>40</v>
      </c>
      <c r="D1" s="7" t="s">
        <v>285</v>
      </c>
      <c r="E1" s="7" t="s">
        <v>286</v>
      </c>
      <c r="F1" s="7" t="s">
        <v>287</v>
      </c>
      <c r="G1" s="7" t="s">
        <v>288</v>
      </c>
      <c r="H1" s="7" t="s">
        <v>289</v>
      </c>
    </row>
    <row r="2" customFormat="false" ht="23.85" hidden="false" customHeight="false" outlineLevel="0" collapsed="false">
      <c r="A2" s="8" t="s">
        <v>48</v>
      </c>
      <c r="B2" s="9" t="s">
        <v>49</v>
      </c>
      <c r="C2" s="9" t="s">
        <v>54</v>
      </c>
      <c r="D2" s="9" t="s">
        <v>290</v>
      </c>
      <c r="E2" s="9" t="s">
        <v>291</v>
      </c>
      <c r="F2" s="9" t="s">
        <v>291</v>
      </c>
      <c r="G2" s="9" t="s">
        <v>291</v>
      </c>
      <c r="H2" s="9" t="s">
        <v>291</v>
      </c>
    </row>
    <row r="3" customFormat="false" ht="23.85" hidden="false" customHeight="false" outlineLevel="0" collapsed="false">
      <c r="A3" s="8" t="s">
        <v>57</v>
      </c>
      <c r="B3" s="9" t="s">
        <v>58</v>
      </c>
      <c r="C3" s="9" t="s">
        <v>54</v>
      </c>
      <c r="D3" s="9" t="s">
        <v>290</v>
      </c>
      <c r="E3" s="9" t="s">
        <v>291</v>
      </c>
      <c r="F3" s="9" t="s">
        <v>291</v>
      </c>
      <c r="G3" s="9" t="s">
        <v>291</v>
      </c>
      <c r="H3" s="9" t="s">
        <v>291</v>
      </c>
    </row>
    <row r="4" customFormat="false" ht="23.85" hidden="false" customHeight="false" outlineLevel="0" collapsed="false">
      <c r="A4" s="8" t="s">
        <v>59</v>
      </c>
      <c r="B4" s="9" t="s">
        <v>60</v>
      </c>
      <c r="C4" s="9" t="s">
        <v>54</v>
      </c>
      <c r="D4" s="9" t="s">
        <v>290</v>
      </c>
      <c r="E4" s="9" t="s">
        <v>291</v>
      </c>
      <c r="F4" s="9" t="s">
        <v>291</v>
      </c>
      <c r="G4" s="9" t="s">
        <v>291</v>
      </c>
      <c r="H4" s="9" t="s">
        <v>291</v>
      </c>
    </row>
    <row r="5" customFormat="false" ht="23.85" hidden="false" customHeight="false" outlineLevel="0" collapsed="false">
      <c r="A5" s="8" t="s">
        <v>61</v>
      </c>
      <c r="B5" s="9" t="s">
        <v>62</v>
      </c>
      <c r="C5" s="9" t="s">
        <v>54</v>
      </c>
      <c r="D5" s="9" t="s">
        <v>290</v>
      </c>
      <c r="E5" s="9" t="s">
        <v>291</v>
      </c>
      <c r="F5" s="9" t="s">
        <v>291</v>
      </c>
      <c r="G5" s="9" t="s">
        <v>291</v>
      </c>
      <c r="H5" s="9" t="s">
        <v>291</v>
      </c>
    </row>
    <row r="6" customFormat="false" ht="23.85" hidden="false" customHeight="false" outlineLevel="0" collapsed="false">
      <c r="A6" s="8" t="s">
        <v>63</v>
      </c>
      <c r="B6" s="9" t="s">
        <v>64</v>
      </c>
      <c r="C6" s="9" t="s">
        <v>54</v>
      </c>
      <c r="D6" s="9" t="s">
        <v>290</v>
      </c>
      <c r="E6" s="9" t="s">
        <v>291</v>
      </c>
      <c r="F6" s="9" t="s">
        <v>291</v>
      </c>
      <c r="G6" s="9" t="s">
        <v>291</v>
      </c>
      <c r="H6" s="9" t="s">
        <v>291</v>
      </c>
    </row>
    <row r="7" customFormat="false" ht="23.85" hidden="false" customHeight="false" outlineLevel="0" collapsed="false">
      <c r="A7" s="8" t="s">
        <v>66</v>
      </c>
      <c r="B7" s="9" t="s">
        <v>67</v>
      </c>
      <c r="C7" s="9" t="s">
        <v>54</v>
      </c>
      <c r="D7" s="9" t="s">
        <v>290</v>
      </c>
      <c r="E7" s="9" t="s">
        <v>291</v>
      </c>
      <c r="F7" s="9" t="s">
        <v>291</v>
      </c>
      <c r="G7" s="9" t="s">
        <v>291</v>
      </c>
      <c r="H7" s="9" t="s">
        <v>291</v>
      </c>
    </row>
    <row r="8" customFormat="false" ht="23.85" hidden="false" customHeight="false" outlineLevel="0" collapsed="false">
      <c r="A8" s="8" t="s">
        <v>68</v>
      </c>
      <c r="B8" s="9" t="s">
        <v>69</v>
      </c>
      <c r="C8" s="9" t="s">
        <v>54</v>
      </c>
      <c r="D8" s="9" t="s">
        <v>290</v>
      </c>
      <c r="E8" s="9" t="s">
        <v>291</v>
      </c>
      <c r="F8" s="9" t="s">
        <v>291</v>
      </c>
      <c r="G8" s="9" t="s">
        <v>291</v>
      </c>
      <c r="H8" s="9" t="s">
        <v>291</v>
      </c>
    </row>
    <row r="9" customFormat="false" ht="23.85" hidden="false" customHeight="false" outlineLevel="0" collapsed="false">
      <c r="A9" s="8" t="s">
        <v>70</v>
      </c>
      <c r="B9" s="9" t="s">
        <v>71</v>
      </c>
      <c r="C9" s="9" t="s">
        <v>54</v>
      </c>
      <c r="D9" s="9" t="s">
        <v>290</v>
      </c>
      <c r="E9" s="9" t="s">
        <v>291</v>
      </c>
      <c r="F9" s="9" t="s">
        <v>291</v>
      </c>
      <c r="G9" s="9" t="s">
        <v>291</v>
      </c>
      <c r="H9" s="9" t="s">
        <v>291</v>
      </c>
    </row>
    <row r="10" customFormat="false" ht="46.25" hidden="false" customHeight="false" outlineLevel="0" collapsed="false">
      <c r="A10" s="8" t="s">
        <v>72</v>
      </c>
      <c r="B10" s="9" t="s">
        <v>73</v>
      </c>
      <c r="C10" s="9" t="s">
        <v>77</v>
      </c>
      <c r="D10" s="9" t="s">
        <v>292</v>
      </c>
      <c r="E10" s="9" t="s">
        <v>293</v>
      </c>
      <c r="F10" s="9" t="s">
        <v>294</v>
      </c>
      <c r="G10" s="9" t="s">
        <v>295</v>
      </c>
      <c r="H10" s="9" t="s">
        <v>296</v>
      </c>
    </row>
    <row r="11" customFormat="false" ht="23.85" hidden="false" customHeight="false" outlineLevel="0" collapsed="false">
      <c r="A11" s="8" t="s">
        <v>79</v>
      </c>
      <c r="B11" s="9" t="s">
        <v>80</v>
      </c>
      <c r="C11" s="9" t="s">
        <v>83</v>
      </c>
      <c r="D11" s="9" t="s">
        <v>297</v>
      </c>
      <c r="E11" s="9" t="s">
        <v>298</v>
      </c>
      <c r="F11" s="9" t="s">
        <v>299</v>
      </c>
      <c r="G11" s="9" t="s">
        <v>300</v>
      </c>
      <c r="H11" s="9" t="s">
        <v>301</v>
      </c>
    </row>
    <row r="12" customFormat="false" ht="23.85" hidden="false" customHeight="false" outlineLevel="0" collapsed="false">
      <c r="A12" s="8" t="s">
        <v>87</v>
      </c>
      <c r="B12" s="9" t="s">
        <v>88</v>
      </c>
      <c r="C12" s="9" t="s">
        <v>83</v>
      </c>
      <c r="D12" s="9" t="s">
        <v>297</v>
      </c>
      <c r="E12" s="9" t="s">
        <v>298</v>
      </c>
      <c r="F12" s="9" t="s">
        <v>299</v>
      </c>
      <c r="G12" s="9" t="s">
        <v>300</v>
      </c>
      <c r="H12" s="9" t="s">
        <v>301</v>
      </c>
    </row>
    <row r="13" customFormat="false" ht="23.85" hidden="false" customHeight="false" outlineLevel="0" collapsed="false">
      <c r="A13" s="8" t="s">
        <v>89</v>
      </c>
      <c r="B13" s="9" t="s">
        <v>90</v>
      </c>
      <c r="C13" s="9" t="s">
        <v>83</v>
      </c>
      <c r="D13" s="9" t="s">
        <v>297</v>
      </c>
      <c r="E13" s="9" t="s">
        <v>298</v>
      </c>
      <c r="F13" s="9" t="s">
        <v>302</v>
      </c>
      <c r="G13" s="9" t="s">
        <v>303</v>
      </c>
      <c r="H13" s="9" t="s">
        <v>304</v>
      </c>
    </row>
    <row r="14" customFormat="false" ht="23.85" hidden="false" customHeight="false" outlineLevel="0" collapsed="false">
      <c r="A14" s="8" t="s">
        <v>91</v>
      </c>
      <c r="B14" s="9" t="s">
        <v>92</v>
      </c>
      <c r="C14" s="9" t="s">
        <v>83</v>
      </c>
      <c r="D14" s="9" t="s">
        <v>297</v>
      </c>
      <c r="E14" s="9" t="s">
        <v>298</v>
      </c>
      <c r="F14" s="9" t="s">
        <v>299</v>
      </c>
      <c r="G14" s="9" t="s">
        <v>300</v>
      </c>
      <c r="H14" s="9" t="s">
        <v>301</v>
      </c>
    </row>
    <row r="15" customFormat="false" ht="23.85" hidden="false" customHeight="false" outlineLevel="0" collapsed="false">
      <c r="A15" s="8" t="s">
        <v>93</v>
      </c>
      <c r="B15" s="9" t="s">
        <v>94</v>
      </c>
      <c r="C15" s="9" t="s">
        <v>83</v>
      </c>
      <c r="D15" s="9" t="s">
        <v>305</v>
      </c>
      <c r="E15" s="9" t="s">
        <v>306</v>
      </c>
      <c r="F15" s="9" t="s">
        <v>307</v>
      </c>
      <c r="G15" s="9" t="s">
        <v>308</v>
      </c>
      <c r="H15" s="9" t="s">
        <v>309</v>
      </c>
    </row>
    <row r="16" customFormat="false" ht="15" hidden="false" customHeight="false" outlineLevel="0" collapsed="false">
      <c r="A16" s="8" t="s">
        <v>96</v>
      </c>
      <c r="B16" s="9" t="s">
        <v>97</v>
      </c>
      <c r="C16" s="9" t="s">
        <v>83</v>
      </c>
      <c r="D16" s="9" t="s">
        <v>297</v>
      </c>
      <c r="E16" s="9" t="s">
        <v>298</v>
      </c>
      <c r="F16" s="9" t="s">
        <v>299</v>
      </c>
      <c r="G16" s="9" t="s">
        <v>300</v>
      </c>
      <c r="H16" s="9" t="s">
        <v>301</v>
      </c>
    </row>
    <row r="17" customFormat="false" ht="23.85" hidden="false" customHeight="false" outlineLevel="0" collapsed="false">
      <c r="A17" s="8" t="s">
        <v>98</v>
      </c>
      <c r="B17" s="9" t="s">
        <v>99</v>
      </c>
      <c r="C17" s="9" t="s">
        <v>83</v>
      </c>
      <c r="D17" s="9" t="s">
        <v>297</v>
      </c>
      <c r="E17" s="9" t="s">
        <v>298</v>
      </c>
      <c r="F17" s="9" t="s">
        <v>299</v>
      </c>
      <c r="G17" s="9" t="s">
        <v>300</v>
      </c>
      <c r="H17" s="9" t="s">
        <v>301</v>
      </c>
    </row>
    <row r="18" customFormat="false" ht="23.85" hidden="false" customHeight="false" outlineLevel="0" collapsed="false">
      <c r="A18" s="8" t="s">
        <v>100</v>
      </c>
      <c r="B18" s="9" t="s">
        <v>101</v>
      </c>
      <c r="C18" s="9" t="s">
        <v>83</v>
      </c>
      <c r="D18" s="9" t="s">
        <v>305</v>
      </c>
      <c r="E18" s="9" t="s">
        <v>306</v>
      </c>
      <c r="F18" s="9" t="s">
        <v>307</v>
      </c>
      <c r="G18" s="9" t="s">
        <v>308</v>
      </c>
      <c r="H18" s="9" t="s">
        <v>309</v>
      </c>
    </row>
    <row r="19" customFormat="false" ht="15" hidden="false" customHeight="false" outlineLevel="0" collapsed="false">
      <c r="A19" s="8" t="s">
        <v>102</v>
      </c>
      <c r="B19" s="9" t="s">
        <v>103</v>
      </c>
      <c r="C19" s="9" t="s">
        <v>83</v>
      </c>
      <c r="D19" s="9" t="s">
        <v>297</v>
      </c>
      <c r="E19" s="9" t="s">
        <v>298</v>
      </c>
      <c r="F19" s="9" t="s">
        <v>299</v>
      </c>
      <c r="G19" s="9" t="s">
        <v>300</v>
      </c>
      <c r="H19" s="9" t="s">
        <v>301</v>
      </c>
    </row>
    <row r="20" customFormat="false" ht="23.85" hidden="false" customHeight="false" outlineLevel="0" collapsed="false">
      <c r="A20" s="8" t="s">
        <v>104</v>
      </c>
      <c r="B20" s="9" t="s">
        <v>105</v>
      </c>
      <c r="C20" s="9" t="s">
        <v>83</v>
      </c>
      <c r="D20" s="9" t="s">
        <v>310</v>
      </c>
      <c r="E20" s="9" t="s">
        <v>311</v>
      </c>
      <c r="F20" s="9" t="s">
        <v>312</v>
      </c>
      <c r="G20" s="9" t="s">
        <v>313</v>
      </c>
      <c r="H20" s="9" t="s">
        <v>314</v>
      </c>
    </row>
    <row r="21" customFormat="false" ht="46.25" hidden="false" customHeight="false" outlineLevel="0" collapsed="false">
      <c r="A21" s="8" t="s">
        <v>106</v>
      </c>
      <c r="B21" s="9" t="s">
        <v>107</v>
      </c>
      <c r="C21" s="9" t="s">
        <v>77</v>
      </c>
      <c r="D21" s="9" t="s">
        <v>315</v>
      </c>
      <c r="E21" s="9" t="s">
        <v>316</v>
      </c>
      <c r="F21" s="9" t="s">
        <v>317</v>
      </c>
      <c r="G21" s="9" t="s">
        <v>318</v>
      </c>
      <c r="H21" s="9" t="s">
        <v>319</v>
      </c>
    </row>
    <row r="22" customFormat="false" ht="23.85" hidden="false" customHeight="false" outlineLevel="0" collapsed="false">
      <c r="A22" s="8" t="s">
        <v>108</v>
      </c>
      <c r="B22" s="9" t="s">
        <v>109</v>
      </c>
      <c r="C22" s="9" t="s">
        <v>83</v>
      </c>
      <c r="D22" s="9" t="s">
        <v>320</v>
      </c>
      <c r="E22" s="9" t="s">
        <v>321</v>
      </c>
      <c r="F22" s="9" t="s">
        <v>322</v>
      </c>
      <c r="G22" s="9" t="s">
        <v>323</v>
      </c>
      <c r="H22" s="9" t="s">
        <v>324</v>
      </c>
    </row>
    <row r="23" customFormat="false" ht="15" hidden="false" customHeight="false" outlineLevel="0" collapsed="false">
      <c r="A23" s="8" t="s">
        <v>112</v>
      </c>
      <c r="B23" s="9" t="s">
        <v>113</v>
      </c>
      <c r="C23" s="9" t="s">
        <v>83</v>
      </c>
      <c r="D23" s="9" t="s">
        <v>297</v>
      </c>
      <c r="E23" s="9" t="s">
        <v>298</v>
      </c>
      <c r="F23" s="9" t="s">
        <v>299</v>
      </c>
      <c r="G23" s="9" t="s">
        <v>300</v>
      </c>
      <c r="H23" s="9" t="s">
        <v>301</v>
      </c>
    </row>
    <row r="24" customFormat="false" ht="35.05" hidden="false" customHeight="false" outlineLevel="0" collapsed="false">
      <c r="A24" s="8" t="s">
        <v>114</v>
      </c>
      <c r="B24" s="9" t="s">
        <v>115</v>
      </c>
      <c r="C24" s="9" t="s">
        <v>77</v>
      </c>
      <c r="D24" s="9" t="s">
        <v>325</v>
      </c>
      <c r="E24" s="9" t="s">
        <v>326</v>
      </c>
      <c r="F24" s="9" t="s">
        <v>327</v>
      </c>
      <c r="G24" s="9" t="s">
        <v>328</v>
      </c>
      <c r="H24" s="9" t="s">
        <v>329</v>
      </c>
    </row>
    <row r="25" customFormat="false" ht="46.25" hidden="false" customHeight="false" outlineLevel="0" collapsed="false">
      <c r="A25" s="8" t="s">
        <v>116</v>
      </c>
      <c r="B25" s="9" t="s">
        <v>117</v>
      </c>
      <c r="C25" s="9" t="s">
        <v>77</v>
      </c>
      <c r="D25" s="9" t="s">
        <v>330</v>
      </c>
      <c r="E25" s="9" t="s">
        <v>331</v>
      </c>
      <c r="F25" s="9" t="s">
        <v>332</v>
      </c>
      <c r="G25" s="9" t="s">
        <v>333</v>
      </c>
      <c r="H25" s="9" t="s">
        <v>334</v>
      </c>
    </row>
    <row r="26" customFormat="false" ht="46.25" hidden="false" customHeight="false" outlineLevel="0" collapsed="false">
      <c r="A26" s="8" t="s">
        <v>118</v>
      </c>
      <c r="B26" s="9" t="s">
        <v>119</v>
      </c>
      <c r="C26" s="9" t="s">
        <v>77</v>
      </c>
      <c r="D26" s="9" t="s">
        <v>335</v>
      </c>
      <c r="E26" s="9" t="s">
        <v>336</v>
      </c>
      <c r="F26" s="9" t="s">
        <v>337</v>
      </c>
      <c r="G26" s="9" t="s">
        <v>338</v>
      </c>
      <c r="H26" s="9" t="s">
        <v>339</v>
      </c>
    </row>
    <row r="27" customFormat="false" ht="57.45" hidden="false" customHeight="false" outlineLevel="0" collapsed="false">
      <c r="A27" s="8" t="s">
        <v>120</v>
      </c>
      <c r="B27" s="9" t="s">
        <v>121</v>
      </c>
      <c r="C27" s="9" t="s">
        <v>77</v>
      </c>
      <c r="D27" s="9" t="s">
        <v>340</v>
      </c>
      <c r="E27" s="9" t="s">
        <v>341</v>
      </c>
      <c r="F27" s="9" t="s">
        <v>342</v>
      </c>
      <c r="G27" s="9" t="s">
        <v>343</v>
      </c>
      <c r="H27" s="9" t="s">
        <v>344</v>
      </c>
    </row>
    <row r="28" customFormat="false" ht="46.25" hidden="false" customHeight="false" outlineLevel="0" collapsed="false">
      <c r="A28" s="8" t="s">
        <v>122</v>
      </c>
      <c r="B28" s="9" t="s">
        <v>123</v>
      </c>
      <c r="C28" s="9" t="s">
        <v>77</v>
      </c>
      <c r="D28" s="9" t="s">
        <v>345</v>
      </c>
      <c r="E28" s="9" t="s">
        <v>346</v>
      </c>
      <c r="F28" s="9" t="s">
        <v>347</v>
      </c>
      <c r="G28" s="9" t="s">
        <v>348</v>
      </c>
      <c r="H28" s="9" t="s">
        <v>349</v>
      </c>
    </row>
    <row r="29" customFormat="false" ht="35.05" hidden="false" customHeight="false" outlineLevel="0" collapsed="false">
      <c r="A29" s="8" t="s">
        <v>124</v>
      </c>
      <c r="B29" s="9" t="s">
        <v>125</v>
      </c>
      <c r="C29" s="9" t="s">
        <v>77</v>
      </c>
      <c r="D29" s="9" t="s">
        <v>350</v>
      </c>
      <c r="E29" s="9" t="s">
        <v>351</v>
      </c>
      <c r="F29" s="9" t="s">
        <v>352</v>
      </c>
      <c r="G29" s="9" t="s">
        <v>353</v>
      </c>
      <c r="H29" s="9" t="s">
        <v>354</v>
      </c>
    </row>
    <row r="30" customFormat="false" ht="23.85" hidden="false" customHeight="false" outlineLevel="0" collapsed="false">
      <c r="A30" s="8" t="s">
        <v>126</v>
      </c>
      <c r="B30" s="9" t="s">
        <v>127</v>
      </c>
      <c r="C30" s="9" t="s">
        <v>83</v>
      </c>
      <c r="D30" s="9" t="s">
        <v>297</v>
      </c>
      <c r="E30" s="9" t="s">
        <v>298</v>
      </c>
      <c r="F30" s="9" t="s">
        <v>299</v>
      </c>
      <c r="G30" s="9" t="s">
        <v>300</v>
      </c>
      <c r="H30" s="9" t="s">
        <v>301</v>
      </c>
    </row>
    <row r="31" customFormat="false" ht="46.25" hidden="false" customHeight="false" outlineLevel="0" collapsed="false">
      <c r="A31" s="8" t="s">
        <v>128</v>
      </c>
      <c r="B31" s="9" t="s">
        <v>129</v>
      </c>
      <c r="C31" s="9" t="s">
        <v>77</v>
      </c>
      <c r="D31" s="9" t="s">
        <v>355</v>
      </c>
      <c r="E31" s="9" t="s">
        <v>356</v>
      </c>
      <c r="F31" s="9" t="s">
        <v>357</v>
      </c>
      <c r="G31" s="9" t="s">
        <v>358</v>
      </c>
      <c r="H31" s="9" t="s">
        <v>359</v>
      </c>
    </row>
    <row r="32" customFormat="false" ht="46.25" hidden="false" customHeight="false" outlineLevel="0" collapsed="false">
      <c r="A32" s="8" t="s">
        <v>130</v>
      </c>
      <c r="B32" s="9" t="s">
        <v>131</v>
      </c>
      <c r="C32" s="9" t="s">
        <v>77</v>
      </c>
      <c r="D32" s="9" t="s">
        <v>360</v>
      </c>
      <c r="E32" s="9" t="s">
        <v>361</v>
      </c>
      <c r="F32" s="9" t="s">
        <v>362</v>
      </c>
      <c r="G32" s="9" t="s">
        <v>363</v>
      </c>
      <c r="H32" s="9" t="s">
        <v>364</v>
      </c>
    </row>
    <row r="33" customFormat="false" ht="35.05" hidden="false" customHeight="false" outlineLevel="0" collapsed="false">
      <c r="A33" s="8" t="s">
        <v>132</v>
      </c>
      <c r="B33" s="9" t="s">
        <v>133</v>
      </c>
      <c r="C33" s="9" t="s">
        <v>77</v>
      </c>
      <c r="D33" s="9" t="s">
        <v>365</v>
      </c>
      <c r="E33" s="9" t="s">
        <v>366</v>
      </c>
      <c r="F33" s="9" t="s">
        <v>367</v>
      </c>
      <c r="G33" s="9" t="s">
        <v>368</v>
      </c>
      <c r="H33" s="9" t="s">
        <v>369</v>
      </c>
    </row>
    <row r="34" customFormat="false" ht="35.05" hidden="false" customHeight="false" outlineLevel="0" collapsed="false">
      <c r="A34" s="8" t="s">
        <v>134</v>
      </c>
      <c r="B34" s="9" t="s">
        <v>135</v>
      </c>
      <c r="C34" s="9" t="s">
        <v>83</v>
      </c>
      <c r="D34" s="9" t="s">
        <v>297</v>
      </c>
      <c r="E34" s="9" t="s">
        <v>298</v>
      </c>
      <c r="F34" s="9" t="s">
        <v>299</v>
      </c>
      <c r="G34" s="9" t="s">
        <v>300</v>
      </c>
      <c r="H34" s="9" t="s">
        <v>370</v>
      </c>
    </row>
    <row r="35" customFormat="false" ht="35.05" hidden="false" customHeight="false" outlineLevel="0" collapsed="false">
      <c r="A35" s="8" t="s">
        <v>136</v>
      </c>
      <c r="B35" s="9" t="s">
        <v>137</v>
      </c>
      <c r="C35" s="9" t="s">
        <v>77</v>
      </c>
      <c r="D35" s="9" t="s">
        <v>371</v>
      </c>
      <c r="E35" s="9" t="s">
        <v>372</v>
      </c>
      <c r="F35" s="9" t="s">
        <v>373</v>
      </c>
      <c r="G35" s="9" t="s">
        <v>374</v>
      </c>
      <c r="H35" s="9" t="s">
        <v>375</v>
      </c>
    </row>
    <row r="36" customFormat="false" ht="23.85" hidden="false" customHeight="false" outlineLevel="0" collapsed="false">
      <c r="A36" s="8" t="s">
        <v>140</v>
      </c>
      <c r="B36" s="9" t="s">
        <v>141</v>
      </c>
      <c r="C36" s="9" t="s">
        <v>83</v>
      </c>
      <c r="D36" s="9" t="s">
        <v>320</v>
      </c>
      <c r="E36" s="9" t="s">
        <v>321</v>
      </c>
      <c r="F36" s="9" t="s">
        <v>322</v>
      </c>
      <c r="G36" s="9" t="s">
        <v>323</v>
      </c>
      <c r="H36" s="9" t="s">
        <v>324</v>
      </c>
    </row>
    <row r="37" customFormat="false" ht="15" hidden="false" customHeight="false" outlineLevel="0" collapsed="false">
      <c r="A37" s="8" t="s">
        <v>142</v>
      </c>
      <c r="B37" s="9" t="s">
        <v>143</v>
      </c>
      <c r="C37" s="9" t="s">
        <v>83</v>
      </c>
      <c r="D37" s="9" t="s">
        <v>297</v>
      </c>
      <c r="E37" s="9" t="s">
        <v>298</v>
      </c>
      <c r="F37" s="9" t="s">
        <v>299</v>
      </c>
      <c r="G37" s="9" t="s">
        <v>300</v>
      </c>
      <c r="H37" s="9" t="s">
        <v>301</v>
      </c>
    </row>
    <row r="38" customFormat="false" ht="35.05" hidden="false" customHeight="false" outlineLevel="0" collapsed="false">
      <c r="A38" s="8" t="s">
        <v>144</v>
      </c>
      <c r="B38" s="9" t="s">
        <v>145</v>
      </c>
      <c r="C38" s="9" t="s">
        <v>77</v>
      </c>
      <c r="D38" s="9" t="s">
        <v>376</v>
      </c>
      <c r="E38" s="9" t="s">
        <v>377</v>
      </c>
      <c r="F38" s="9" t="s">
        <v>378</v>
      </c>
      <c r="G38" s="9" t="s">
        <v>379</v>
      </c>
      <c r="H38" s="9" t="s">
        <v>380</v>
      </c>
    </row>
    <row r="39" customFormat="false" ht="46.25" hidden="false" customHeight="false" outlineLevel="0" collapsed="false">
      <c r="A39" s="8" t="s">
        <v>146</v>
      </c>
      <c r="B39" s="9" t="s">
        <v>147</v>
      </c>
      <c r="C39" s="9" t="s">
        <v>77</v>
      </c>
      <c r="D39" s="9" t="s">
        <v>381</v>
      </c>
      <c r="E39" s="9" t="s">
        <v>382</v>
      </c>
      <c r="F39" s="9" t="s">
        <v>383</v>
      </c>
      <c r="G39" s="9" t="s">
        <v>384</v>
      </c>
      <c r="H39" s="9" t="s">
        <v>385</v>
      </c>
    </row>
    <row r="40" customFormat="false" ht="46.25" hidden="false" customHeight="false" outlineLevel="0" collapsed="false">
      <c r="A40" s="8" t="s">
        <v>148</v>
      </c>
      <c r="B40" s="9" t="s">
        <v>149</v>
      </c>
      <c r="C40" s="9" t="s">
        <v>77</v>
      </c>
      <c r="D40" s="9" t="s">
        <v>386</v>
      </c>
      <c r="E40" s="9" t="s">
        <v>387</v>
      </c>
      <c r="F40" s="9" t="s">
        <v>388</v>
      </c>
      <c r="G40" s="9" t="s">
        <v>389</v>
      </c>
      <c r="H40" s="9" t="s">
        <v>390</v>
      </c>
    </row>
    <row r="41" customFormat="false" ht="23.85" hidden="false" customHeight="false" outlineLevel="0" collapsed="false">
      <c r="A41" s="8" t="s">
        <v>150</v>
      </c>
      <c r="B41" s="9" t="s">
        <v>151</v>
      </c>
      <c r="C41" s="9" t="s">
        <v>83</v>
      </c>
      <c r="D41" s="9" t="s">
        <v>297</v>
      </c>
      <c r="E41" s="9" t="s">
        <v>298</v>
      </c>
      <c r="F41" s="9" t="s">
        <v>299</v>
      </c>
      <c r="G41" s="9" t="s">
        <v>300</v>
      </c>
      <c r="H41" s="9" t="s">
        <v>301</v>
      </c>
    </row>
    <row r="42" customFormat="false" ht="46.25" hidden="false" customHeight="false" outlineLevel="0" collapsed="false">
      <c r="A42" s="8" t="s">
        <v>152</v>
      </c>
      <c r="B42" s="9" t="s">
        <v>153</v>
      </c>
      <c r="C42" s="9" t="s">
        <v>77</v>
      </c>
      <c r="D42" s="9" t="s">
        <v>391</v>
      </c>
      <c r="E42" s="9" t="s">
        <v>392</v>
      </c>
      <c r="F42" s="9" t="s">
        <v>393</v>
      </c>
      <c r="G42" s="9" t="s">
        <v>394</v>
      </c>
      <c r="H42" s="9" t="s">
        <v>395</v>
      </c>
    </row>
    <row r="43" customFormat="false" ht="46.25" hidden="false" customHeight="false" outlineLevel="0" collapsed="false">
      <c r="A43" s="8" t="s">
        <v>154</v>
      </c>
      <c r="B43" s="9" t="s">
        <v>155</v>
      </c>
      <c r="C43" s="9" t="s">
        <v>77</v>
      </c>
      <c r="D43" s="9" t="s">
        <v>396</v>
      </c>
      <c r="E43" s="9" t="s">
        <v>397</v>
      </c>
      <c r="F43" s="9" t="s">
        <v>398</v>
      </c>
      <c r="G43" s="9" t="s">
        <v>399</v>
      </c>
      <c r="H43" s="9" t="s">
        <v>400</v>
      </c>
    </row>
    <row r="44" customFormat="false" ht="46.25" hidden="false" customHeight="false" outlineLevel="0" collapsed="false">
      <c r="A44" s="8" t="s">
        <v>156</v>
      </c>
      <c r="B44" s="9" t="s">
        <v>157</v>
      </c>
      <c r="C44" s="9" t="s">
        <v>77</v>
      </c>
      <c r="D44" s="9" t="s">
        <v>401</v>
      </c>
      <c r="E44" s="9" t="s">
        <v>402</v>
      </c>
      <c r="F44" s="9" t="s">
        <v>403</v>
      </c>
      <c r="G44" s="9" t="s">
        <v>404</v>
      </c>
      <c r="H44" s="9" t="s">
        <v>405</v>
      </c>
    </row>
    <row r="45" customFormat="false" ht="46.25" hidden="false" customHeight="false" outlineLevel="0" collapsed="false">
      <c r="A45" s="8" t="s">
        <v>158</v>
      </c>
      <c r="B45" s="9" t="s">
        <v>159</v>
      </c>
      <c r="C45" s="9" t="s">
        <v>77</v>
      </c>
      <c r="D45" s="9" t="s">
        <v>406</v>
      </c>
      <c r="E45" s="9" t="s">
        <v>407</v>
      </c>
      <c r="F45" s="9" t="s">
        <v>408</v>
      </c>
      <c r="G45" s="9" t="s">
        <v>409</v>
      </c>
      <c r="H45" s="9" t="s">
        <v>410</v>
      </c>
    </row>
    <row r="46" customFormat="false" ht="46.25" hidden="false" customHeight="false" outlineLevel="0" collapsed="false">
      <c r="A46" s="8" t="s">
        <v>160</v>
      </c>
      <c r="B46" s="9" t="s">
        <v>161</v>
      </c>
      <c r="C46" s="9" t="s">
        <v>77</v>
      </c>
      <c r="D46" s="9" t="s">
        <v>411</v>
      </c>
      <c r="E46" s="9" t="s">
        <v>412</v>
      </c>
      <c r="F46" s="9" t="s">
        <v>413</v>
      </c>
      <c r="G46" s="9" t="s">
        <v>414</v>
      </c>
      <c r="H46" s="9" t="s">
        <v>415</v>
      </c>
    </row>
    <row r="47" customFormat="false" ht="46.25" hidden="false" customHeight="false" outlineLevel="0" collapsed="false">
      <c r="A47" s="8" t="s">
        <v>162</v>
      </c>
      <c r="B47" s="9" t="s">
        <v>163</v>
      </c>
      <c r="C47" s="9" t="s">
        <v>77</v>
      </c>
      <c r="D47" s="9" t="s">
        <v>416</v>
      </c>
      <c r="E47" s="9" t="s">
        <v>417</v>
      </c>
      <c r="F47" s="9" t="s">
        <v>418</v>
      </c>
      <c r="G47" s="9" t="s">
        <v>419</v>
      </c>
      <c r="H47" s="9" t="s">
        <v>420</v>
      </c>
    </row>
    <row r="48" customFormat="false" ht="15" hidden="false" customHeight="false" outlineLevel="0" collapsed="false">
      <c r="A48" s="8" t="s">
        <v>164</v>
      </c>
      <c r="B48" s="9" t="s">
        <v>165</v>
      </c>
      <c r="C48" s="9" t="s">
        <v>83</v>
      </c>
      <c r="D48" s="9" t="s">
        <v>421</v>
      </c>
      <c r="E48" s="9" t="s">
        <v>422</v>
      </c>
      <c r="F48" s="9" t="s">
        <v>423</v>
      </c>
      <c r="G48" s="9" t="s">
        <v>424</v>
      </c>
      <c r="H48" s="9" t="s">
        <v>425</v>
      </c>
    </row>
    <row r="49" customFormat="false" ht="15" hidden="false" customHeight="false" outlineLevel="0" collapsed="false">
      <c r="A49" s="8" t="s">
        <v>166</v>
      </c>
      <c r="B49" s="9" t="s">
        <v>167</v>
      </c>
      <c r="C49" s="9" t="s">
        <v>83</v>
      </c>
      <c r="D49" s="9" t="s">
        <v>426</v>
      </c>
      <c r="E49" s="9" t="s">
        <v>427</v>
      </c>
      <c r="F49" s="9" t="s">
        <v>428</v>
      </c>
      <c r="G49" s="9" t="s">
        <v>429</v>
      </c>
      <c r="H49" s="9" t="s">
        <v>430</v>
      </c>
    </row>
    <row r="50" customFormat="false" ht="23.85" hidden="false" customHeight="false" outlineLevel="0" collapsed="false">
      <c r="A50" s="8" t="s">
        <v>168</v>
      </c>
      <c r="B50" s="9" t="s">
        <v>169</v>
      </c>
      <c r="C50" s="9" t="s">
        <v>83</v>
      </c>
      <c r="D50" s="9" t="s">
        <v>431</v>
      </c>
      <c r="E50" s="9" t="s">
        <v>432</v>
      </c>
      <c r="F50" s="9" t="s">
        <v>433</v>
      </c>
      <c r="G50" s="9" t="s">
        <v>434</v>
      </c>
      <c r="H50" s="9" t="s">
        <v>435</v>
      </c>
    </row>
    <row r="51" customFormat="false" ht="15" hidden="false" customHeight="false" outlineLevel="0" collapsed="false">
      <c r="A51" s="8" t="s">
        <v>170</v>
      </c>
      <c r="B51" s="9" t="s">
        <v>171</v>
      </c>
      <c r="C51" s="9" t="s">
        <v>83</v>
      </c>
      <c r="D51" s="9" t="s">
        <v>431</v>
      </c>
      <c r="E51" s="9" t="s">
        <v>313</v>
      </c>
      <c r="F51" s="9" t="s">
        <v>436</v>
      </c>
      <c r="G51" s="9" t="s">
        <v>437</v>
      </c>
      <c r="H51" s="9" t="s">
        <v>438</v>
      </c>
    </row>
    <row r="52" customFormat="false" ht="23.85" hidden="false" customHeight="false" outlineLevel="0" collapsed="false">
      <c r="A52" s="8" t="s">
        <v>172</v>
      </c>
      <c r="B52" s="9" t="s">
        <v>173</v>
      </c>
      <c r="C52" s="9" t="s">
        <v>83</v>
      </c>
      <c r="D52" s="9" t="s">
        <v>431</v>
      </c>
      <c r="E52" s="9" t="s">
        <v>313</v>
      </c>
      <c r="F52" s="9" t="s">
        <v>436</v>
      </c>
      <c r="G52" s="9" t="s">
        <v>437</v>
      </c>
      <c r="H52" s="9" t="s">
        <v>438</v>
      </c>
    </row>
    <row r="53" customFormat="false" ht="46.25" hidden="false" customHeight="false" outlineLevel="0" collapsed="false">
      <c r="A53" s="8" t="s">
        <v>174</v>
      </c>
      <c r="B53" s="9" t="s">
        <v>175</v>
      </c>
      <c r="C53" s="9" t="s">
        <v>77</v>
      </c>
      <c r="D53" s="9" t="s">
        <v>439</v>
      </c>
      <c r="E53" s="9" t="s">
        <v>440</v>
      </c>
      <c r="F53" s="9" t="s">
        <v>441</v>
      </c>
      <c r="G53" s="9" t="s">
        <v>442</v>
      </c>
      <c r="H53" s="9" t="s">
        <v>443</v>
      </c>
    </row>
    <row r="54" customFormat="false" ht="46.25" hidden="false" customHeight="false" outlineLevel="0" collapsed="false">
      <c r="A54" s="8" t="s">
        <v>176</v>
      </c>
      <c r="B54" s="9" t="s">
        <v>177</v>
      </c>
      <c r="C54" s="9" t="s">
        <v>77</v>
      </c>
      <c r="D54" s="9" t="s">
        <v>444</v>
      </c>
      <c r="E54" s="9" t="s">
        <v>445</v>
      </c>
      <c r="F54" s="9" t="s">
        <v>446</v>
      </c>
      <c r="G54" s="9" t="s">
        <v>447</v>
      </c>
      <c r="H54" s="9" t="s">
        <v>448</v>
      </c>
    </row>
    <row r="55" customFormat="false" ht="46.25" hidden="false" customHeight="false" outlineLevel="0" collapsed="false">
      <c r="A55" s="8" t="s">
        <v>178</v>
      </c>
      <c r="B55" s="9" t="s">
        <v>179</v>
      </c>
      <c r="C55" s="9" t="s">
        <v>77</v>
      </c>
      <c r="D55" s="9" t="s">
        <v>449</v>
      </c>
      <c r="E55" s="9" t="s">
        <v>450</v>
      </c>
      <c r="F55" s="9" t="s">
        <v>451</v>
      </c>
      <c r="G55" s="9" t="s">
        <v>452</v>
      </c>
      <c r="H55" s="9" t="s">
        <v>453</v>
      </c>
    </row>
    <row r="56" customFormat="false" ht="46.25" hidden="false" customHeight="false" outlineLevel="0" collapsed="false">
      <c r="A56" s="8" t="s">
        <v>180</v>
      </c>
      <c r="B56" s="9" t="s">
        <v>181</v>
      </c>
      <c r="C56" s="9" t="s">
        <v>77</v>
      </c>
      <c r="D56" s="9" t="s">
        <v>454</v>
      </c>
      <c r="E56" s="9" t="s">
        <v>455</v>
      </c>
      <c r="F56" s="9" t="s">
        <v>456</v>
      </c>
      <c r="G56" s="9" t="s">
        <v>457</v>
      </c>
      <c r="H56" s="9" t="s">
        <v>458</v>
      </c>
    </row>
    <row r="57" customFormat="false" ht="23.85" hidden="false" customHeight="false" outlineLevel="0" collapsed="false">
      <c r="A57" s="8" t="s">
        <v>182</v>
      </c>
      <c r="B57" s="9" t="s">
        <v>183</v>
      </c>
      <c r="C57" s="9" t="s">
        <v>83</v>
      </c>
      <c r="D57" s="9" t="s">
        <v>310</v>
      </c>
      <c r="E57" s="9" t="s">
        <v>311</v>
      </c>
      <c r="F57" s="9" t="s">
        <v>312</v>
      </c>
      <c r="G57" s="9" t="s">
        <v>432</v>
      </c>
      <c r="H57" s="9" t="s">
        <v>459</v>
      </c>
    </row>
    <row r="58" customFormat="false" ht="46.25" hidden="false" customHeight="false" outlineLevel="0" collapsed="false">
      <c r="A58" s="8" t="s">
        <v>184</v>
      </c>
      <c r="B58" s="9" t="s">
        <v>185</v>
      </c>
      <c r="C58" s="9" t="s">
        <v>77</v>
      </c>
      <c r="D58" s="9" t="s">
        <v>460</v>
      </c>
      <c r="E58" s="9" t="s">
        <v>461</v>
      </c>
      <c r="F58" s="9" t="s">
        <v>462</v>
      </c>
      <c r="G58" s="9" t="s">
        <v>463</v>
      </c>
      <c r="H58" s="9" t="s">
        <v>464</v>
      </c>
    </row>
    <row r="59" customFormat="false" ht="23.85" hidden="false" customHeight="false" outlineLevel="0" collapsed="false">
      <c r="A59" s="8" t="s">
        <v>186</v>
      </c>
      <c r="B59" s="9" t="s">
        <v>187</v>
      </c>
      <c r="C59" s="9" t="s">
        <v>83</v>
      </c>
      <c r="D59" s="9" t="s">
        <v>297</v>
      </c>
      <c r="E59" s="9" t="s">
        <v>465</v>
      </c>
      <c r="F59" s="9" t="s">
        <v>466</v>
      </c>
      <c r="G59" s="9" t="s">
        <v>467</v>
      </c>
      <c r="H59" s="9" t="s">
        <v>468</v>
      </c>
    </row>
    <row r="60" customFormat="false" ht="23.85" hidden="false" customHeight="false" outlineLevel="0" collapsed="false">
      <c r="A60" s="8" t="s">
        <v>188</v>
      </c>
      <c r="B60" s="9" t="s">
        <v>189</v>
      </c>
      <c r="C60" s="9" t="s">
        <v>83</v>
      </c>
      <c r="D60" s="9" t="s">
        <v>431</v>
      </c>
      <c r="E60" s="9" t="s">
        <v>313</v>
      </c>
      <c r="F60" s="9" t="s">
        <v>469</v>
      </c>
      <c r="G60" s="9" t="s">
        <v>470</v>
      </c>
      <c r="H60" s="9" t="s">
        <v>471</v>
      </c>
    </row>
    <row r="61" customFormat="false" ht="15" hidden="false" customHeight="false" outlineLevel="0" collapsed="false">
      <c r="A61" s="8" t="s">
        <v>190</v>
      </c>
      <c r="B61" s="9" t="s">
        <v>191</v>
      </c>
      <c r="C61" s="9" t="s">
        <v>83</v>
      </c>
      <c r="D61" s="9" t="s">
        <v>472</v>
      </c>
      <c r="E61" s="9" t="s">
        <v>473</v>
      </c>
      <c r="F61" s="9" t="s">
        <v>466</v>
      </c>
      <c r="G61" s="9" t="s">
        <v>474</v>
      </c>
      <c r="H61" s="9" t="s">
        <v>475</v>
      </c>
    </row>
    <row r="62" customFormat="false" ht="15" hidden="false" customHeight="false" outlineLevel="0" collapsed="false">
      <c r="A62" s="8" t="s">
        <v>195</v>
      </c>
      <c r="B62" s="9" t="s">
        <v>196</v>
      </c>
      <c r="C62" s="9" t="s">
        <v>83</v>
      </c>
      <c r="D62" s="9" t="s">
        <v>476</v>
      </c>
      <c r="E62" s="9" t="s">
        <v>477</v>
      </c>
      <c r="F62" s="9" t="s">
        <v>478</v>
      </c>
      <c r="G62" s="9" t="s">
        <v>479</v>
      </c>
      <c r="H62" s="9" t="s">
        <v>480</v>
      </c>
    </row>
    <row r="63" customFormat="false" ht="15" hidden="false" customHeight="false" outlineLevel="0" collapsed="false">
      <c r="A63" s="8" t="s">
        <v>197</v>
      </c>
      <c r="B63" s="9" t="s">
        <v>198</v>
      </c>
      <c r="C63" s="9" t="s">
        <v>83</v>
      </c>
      <c r="D63" s="9" t="s">
        <v>481</v>
      </c>
      <c r="E63" s="9" t="s">
        <v>482</v>
      </c>
      <c r="F63" s="9" t="s">
        <v>483</v>
      </c>
      <c r="G63" s="9" t="s">
        <v>484</v>
      </c>
      <c r="H63" s="9" t="s">
        <v>438</v>
      </c>
    </row>
    <row r="64" customFormat="false" ht="35.05" hidden="false" customHeight="false" outlineLevel="0" collapsed="false">
      <c r="A64" s="8" t="s">
        <v>199</v>
      </c>
      <c r="B64" s="9" t="s">
        <v>200</v>
      </c>
      <c r="C64" s="9" t="s">
        <v>77</v>
      </c>
      <c r="D64" s="9" t="s">
        <v>485</v>
      </c>
      <c r="E64" s="9" t="s">
        <v>486</v>
      </c>
      <c r="F64" s="9" t="s">
        <v>487</v>
      </c>
      <c r="G64" s="9" t="s">
        <v>488</v>
      </c>
      <c r="H64" s="9" t="s">
        <v>489</v>
      </c>
    </row>
    <row r="65" customFormat="false" ht="46.25" hidden="false" customHeight="false" outlineLevel="0" collapsed="false">
      <c r="A65" s="8" t="s">
        <v>201</v>
      </c>
      <c r="B65" s="9" t="s">
        <v>202</v>
      </c>
      <c r="C65" s="9" t="s">
        <v>77</v>
      </c>
      <c r="D65" s="9" t="s">
        <v>490</v>
      </c>
      <c r="E65" s="9" t="s">
        <v>491</v>
      </c>
      <c r="F65" s="9" t="s">
        <v>492</v>
      </c>
      <c r="G65" s="9" t="s">
        <v>493</v>
      </c>
      <c r="H65" s="9" t="s">
        <v>494</v>
      </c>
    </row>
    <row r="66" customFormat="false" ht="35.05" hidden="false" customHeight="false" outlineLevel="0" collapsed="false">
      <c r="A66" s="8" t="s">
        <v>203</v>
      </c>
      <c r="B66" s="9" t="s">
        <v>204</v>
      </c>
      <c r="C66" s="9" t="s">
        <v>77</v>
      </c>
      <c r="D66" s="9" t="s">
        <v>495</v>
      </c>
      <c r="E66" s="9" t="s">
        <v>496</v>
      </c>
      <c r="F66" s="9" t="s">
        <v>497</v>
      </c>
      <c r="G66" s="9" t="s">
        <v>498</v>
      </c>
      <c r="H66" s="9" t="s">
        <v>499</v>
      </c>
    </row>
    <row r="67" customFormat="false" ht="23.85" hidden="false" customHeight="false" outlineLevel="0" collapsed="false">
      <c r="A67" s="8" t="s">
        <v>205</v>
      </c>
      <c r="B67" s="9" t="s">
        <v>206</v>
      </c>
      <c r="C67" s="9" t="s">
        <v>83</v>
      </c>
      <c r="D67" s="9" t="s">
        <v>500</v>
      </c>
      <c r="E67" s="9" t="s">
        <v>501</v>
      </c>
      <c r="F67" s="9" t="s">
        <v>502</v>
      </c>
      <c r="G67" s="9" t="s">
        <v>503</v>
      </c>
      <c r="H67" s="9" t="s">
        <v>468</v>
      </c>
    </row>
    <row r="68" customFormat="false" ht="46.25" hidden="false" customHeight="false" outlineLevel="0" collapsed="false">
      <c r="A68" s="8" t="s">
        <v>207</v>
      </c>
      <c r="B68" s="9" t="s">
        <v>208</v>
      </c>
      <c r="C68" s="9" t="s">
        <v>77</v>
      </c>
      <c r="D68" s="9" t="s">
        <v>504</v>
      </c>
      <c r="E68" s="9" t="s">
        <v>505</v>
      </c>
      <c r="F68" s="9" t="s">
        <v>506</v>
      </c>
      <c r="G68" s="9" t="s">
        <v>507</v>
      </c>
      <c r="H68" s="9" t="s">
        <v>508</v>
      </c>
    </row>
    <row r="69" customFormat="false" ht="46.25" hidden="false" customHeight="false" outlineLevel="0" collapsed="false">
      <c r="A69" s="8" t="s">
        <v>209</v>
      </c>
      <c r="B69" s="9" t="s">
        <v>210</v>
      </c>
      <c r="C69" s="9" t="s">
        <v>77</v>
      </c>
      <c r="D69" s="9" t="s">
        <v>509</v>
      </c>
      <c r="E69" s="9" t="s">
        <v>510</v>
      </c>
      <c r="F69" s="9" t="s">
        <v>511</v>
      </c>
      <c r="G69" s="9" t="s">
        <v>512</v>
      </c>
      <c r="H69" s="9" t="s">
        <v>513</v>
      </c>
    </row>
    <row r="70" customFormat="false" ht="46.25" hidden="false" customHeight="false" outlineLevel="0" collapsed="false">
      <c r="A70" s="8" t="s">
        <v>211</v>
      </c>
      <c r="B70" s="9" t="s">
        <v>212</v>
      </c>
      <c r="C70" s="9" t="s">
        <v>77</v>
      </c>
      <c r="D70" s="9" t="s">
        <v>514</v>
      </c>
      <c r="E70" s="9" t="s">
        <v>515</v>
      </c>
      <c r="F70" s="9" t="s">
        <v>516</v>
      </c>
      <c r="G70" s="9" t="s">
        <v>517</v>
      </c>
      <c r="H70" s="9" t="s">
        <v>518</v>
      </c>
    </row>
    <row r="71" customFormat="false" ht="46.25" hidden="false" customHeight="false" outlineLevel="0" collapsed="false">
      <c r="A71" s="8" t="s">
        <v>213</v>
      </c>
      <c r="B71" s="9" t="s">
        <v>214</v>
      </c>
      <c r="C71" s="9" t="s">
        <v>77</v>
      </c>
      <c r="D71" s="9" t="s">
        <v>519</v>
      </c>
      <c r="E71" s="9" t="s">
        <v>520</v>
      </c>
      <c r="F71" s="9" t="s">
        <v>521</v>
      </c>
      <c r="G71" s="9" t="s">
        <v>522</v>
      </c>
      <c r="H71" s="9" t="s">
        <v>523</v>
      </c>
    </row>
    <row r="72" customFormat="false" ht="46.25" hidden="false" customHeight="false" outlineLevel="0" collapsed="false">
      <c r="A72" s="8" t="s">
        <v>215</v>
      </c>
      <c r="B72" s="9" t="s">
        <v>216</v>
      </c>
      <c r="C72" s="9" t="s">
        <v>77</v>
      </c>
      <c r="D72" s="9" t="s">
        <v>524</v>
      </c>
      <c r="E72" s="9" t="s">
        <v>525</v>
      </c>
      <c r="F72" s="9" t="s">
        <v>526</v>
      </c>
      <c r="G72" s="9" t="s">
        <v>527</v>
      </c>
      <c r="H72" s="9" t="s">
        <v>528</v>
      </c>
    </row>
    <row r="73" customFormat="false" ht="23.85" hidden="false" customHeight="false" outlineLevel="0" collapsed="false">
      <c r="A73" s="8" t="s">
        <v>217</v>
      </c>
      <c r="B73" s="9" t="s">
        <v>218</v>
      </c>
      <c r="C73" s="9" t="s">
        <v>83</v>
      </c>
      <c r="D73" s="9" t="s">
        <v>431</v>
      </c>
      <c r="E73" s="9" t="s">
        <v>313</v>
      </c>
      <c r="F73" s="9" t="s">
        <v>436</v>
      </c>
      <c r="G73" s="9" t="s">
        <v>437</v>
      </c>
      <c r="H73" s="9" t="s">
        <v>438</v>
      </c>
    </row>
    <row r="74" customFormat="false" ht="57.45" hidden="false" customHeight="false" outlineLevel="0" collapsed="false">
      <c r="A74" s="8" t="s">
        <v>219</v>
      </c>
      <c r="B74" s="9" t="s">
        <v>220</v>
      </c>
      <c r="C74" s="9" t="s">
        <v>77</v>
      </c>
      <c r="D74" s="9" t="s">
        <v>529</v>
      </c>
      <c r="E74" s="9" t="s">
        <v>530</v>
      </c>
      <c r="F74" s="9" t="s">
        <v>531</v>
      </c>
      <c r="G74" s="9" t="s">
        <v>532</v>
      </c>
      <c r="H74" s="9" t="s">
        <v>533</v>
      </c>
    </row>
    <row r="75" customFormat="false" ht="23.85" hidden="false" customHeight="false" outlineLevel="0" collapsed="false">
      <c r="A75" s="8" t="s">
        <v>221</v>
      </c>
      <c r="B75" s="9" t="s">
        <v>222</v>
      </c>
      <c r="C75" s="9" t="s">
        <v>83</v>
      </c>
      <c r="D75" s="9" t="s">
        <v>534</v>
      </c>
      <c r="E75" s="9" t="s">
        <v>535</v>
      </c>
      <c r="F75" s="9" t="s">
        <v>536</v>
      </c>
      <c r="G75" s="9" t="s">
        <v>537</v>
      </c>
      <c r="H75" s="9" t="s">
        <v>468</v>
      </c>
    </row>
    <row r="76" customFormat="false" ht="46.25" hidden="false" customHeight="false" outlineLevel="0" collapsed="false">
      <c r="A76" s="8" t="s">
        <v>225</v>
      </c>
      <c r="B76" s="9" t="s">
        <v>226</v>
      </c>
      <c r="C76" s="9" t="s">
        <v>77</v>
      </c>
      <c r="D76" s="9" t="s">
        <v>538</v>
      </c>
      <c r="E76" s="9" t="s">
        <v>539</v>
      </c>
      <c r="F76" s="9" t="s">
        <v>540</v>
      </c>
      <c r="G76" s="9" t="s">
        <v>541</v>
      </c>
      <c r="H76" s="9" t="s">
        <v>542</v>
      </c>
    </row>
    <row r="77" customFormat="false" ht="23.85" hidden="false" customHeight="false" outlineLevel="0" collapsed="false">
      <c r="A77" s="8" t="s">
        <v>227</v>
      </c>
      <c r="B77" s="9" t="s">
        <v>228</v>
      </c>
      <c r="C77" s="9" t="s">
        <v>83</v>
      </c>
      <c r="D77" s="9" t="s">
        <v>310</v>
      </c>
      <c r="E77" s="9" t="s">
        <v>543</v>
      </c>
      <c r="F77" s="9" t="s">
        <v>313</v>
      </c>
      <c r="G77" s="9" t="s">
        <v>436</v>
      </c>
      <c r="H77" s="9" t="s">
        <v>468</v>
      </c>
    </row>
    <row r="78" customFormat="false" ht="23.85" hidden="false" customHeight="false" outlineLevel="0" collapsed="false">
      <c r="A78" s="8" t="s">
        <v>229</v>
      </c>
      <c r="B78" s="9" t="s">
        <v>230</v>
      </c>
      <c r="C78" s="9" t="s">
        <v>83</v>
      </c>
      <c r="D78" s="9" t="s">
        <v>431</v>
      </c>
      <c r="E78" s="9" t="s">
        <v>313</v>
      </c>
      <c r="F78" s="9" t="s">
        <v>436</v>
      </c>
      <c r="G78" s="9" t="s">
        <v>437</v>
      </c>
      <c r="H78" s="9" t="s">
        <v>438</v>
      </c>
    </row>
    <row r="79" customFormat="false" ht="23.85" hidden="false" customHeight="false" outlineLevel="0" collapsed="false">
      <c r="A79" s="8" t="s">
        <v>231</v>
      </c>
      <c r="B79" s="9" t="s">
        <v>232</v>
      </c>
      <c r="C79" s="9" t="s">
        <v>83</v>
      </c>
      <c r="D79" s="9" t="s">
        <v>431</v>
      </c>
      <c r="E79" s="9" t="s">
        <v>313</v>
      </c>
      <c r="F79" s="9" t="s">
        <v>436</v>
      </c>
      <c r="G79" s="9" t="s">
        <v>437</v>
      </c>
      <c r="H79" s="9" t="s">
        <v>438</v>
      </c>
    </row>
    <row r="80" customFormat="false" ht="23.85" hidden="false" customHeight="false" outlineLevel="0" collapsed="false">
      <c r="A80" s="8" t="s">
        <v>233</v>
      </c>
      <c r="B80" s="9" t="s">
        <v>234</v>
      </c>
      <c r="C80" s="9" t="s">
        <v>83</v>
      </c>
      <c r="D80" s="9" t="s">
        <v>431</v>
      </c>
      <c r="E80" s="9" t="s">
        <v>313</v>
      </c>
      <c r="F80" s="9" t="s">
        <v>436</v>
      </c>
      <c r="G80" s="9" t="s">
        <v>437</v>
      </c>
      <c r="H80" s="9" t="s">
        <v>438</v>
      </c>
    </row>
    <row r="81" customFormat="false" ht="23.85" hidden="false" customHeight="false" outlineLevel="0" collapsed="false">
      <c r="A81" s="8" t="s">
        <v>235</v>
      </c>
      <c r="B81" s="9" t="s">
        <v>236</v>
      </c>
      <c r="C81" s="9" t="s">
        <v>83</v>
      </c>
      <c r="D81" s="9" t="s">
        <v>431</v>
      </c>
      <c r="E81" s="9" t="s">
        <v>313</v>
      </c>
      <c r="F81" s="9" t="s">
        <v>436</v>
      </c>
      <c r="G81" s="9" t="s">
        <v>437</v>
      </c>
      <c r="H81" s="9" t="s">
        <v>438</v>
      </c>
    </row>
    <row r="82" customFormat="false" ht="35.05" hidden="false" customHeight="false" outlineLevel="0" collapsed="false">
      <c r="A82" s="8" t="s">
        <v>237</v>
      </c>
      <c r="B82" s="9" t="s">
        <v>238</v>
      </c>
      <c r="C82" s="9" t="s">
        <v>77</v>
      </c>
      <c r="D82" s="9" t="s">
        <v>544</v>
      </c>
      <c r="E82" s="9" t="s">
        <v>545</v>
      </c>
      <c r="F82" s="9" t="s">
        <v>546</v>
      </c>
      <c r="G82" s="9" t="s">
        <v>547</v>
      </c>
      <c r="H82" s="9" t="s">
        <v>548</v>
      </c>
    </row>
    <row r="83" customFormat="false" ht="57.45" hidden="false" customHeight="false" outlineLevel="0" collapsed="false">
      <c r="A83" s="8" t="s">
        <v>239</v>
      </c>
      <c r="B83" s="9" t="s">
        <v>240</v>
      </c>
      <c r="C83" s="9" t="s">
        <v>77</v>
      </c>
      <c r="D83" s="9" t="s">
        <v>549</v>
      </c>
      <c r="E83" s="9" t="s">
        <v>550</v>
      </c>
      <c r="F83" s="9" t="s">
        <v>551</v>
      </c>
      <c r="G83" s="9" t="s">
        <v>552</v>
      </c>
      <c r="H83" s="9" t="s">
        <v>553</v>
      </c>
    </row>
    <row r="84" customFormat="false" ht="46.25" hidden="false" customHeight="false" outlineLevel="0" collapsed="false">
      <c r="A84" s="8" t="s">
        <v>241</v>
      </c>
      <c r="B84" s="9" t="s">
        <v>242</v>
      </c>
      <c r="C84" s="9" t="s">
        <v>77</v>
      </c>
      <c r="D84" s="9" t="s">
        <v>554</v>
      </c>
      <c r="E84" s="9" t="s">
        <v>555</v>
      </c>
      <c r="F84" s="9" t="s">
        <v>556</v>
      </c>
      <c r="G84" s="9" t="s">
        <v>557</v>
      </c>
      <c r="H84" s="9" t="s">
        <v>558</v>
      </c>
    </row>
    <row r="85" customFormat="false" ht="46.25" hidden="false" customHeight="false" outlineLevel="0" collapsed="false">
      <c r="A85" s="8" t="s">
        <v>243</v>
      </c>
      <c r="B85" s="9" t="s">
        <v>244</v>
      </c>
      <c r="C85" s="9" t="s">
        <v>77</v>
      </c>
      <c r="D85" s="9" t="s">
        <v>559</v>
      </c>
      <c r="E85" s="9" t="s">
        <v>560</v>
      </c>
      <c r="F85" s="9" t="s">
        <v>561</v>
      </c>
      <c r="G85" s="9" t="s">
        <v>562</v>
      </c>
      <c r="H85" s="9" t="s">
        <v>563</v>
      </c>
    </row>
    <row r="86" customFormat="false" ht="35.05" hidden="false" customHeight="false" outlineLevel="0" collapsed="false">
      <c r="A86" s="8" t="s">
        <v>245</v>
      </c>
      <c r="B86" s="9" t="s">
        <v>246</v>
      </c>
      <c r="C86" s="9" t="s">
        <v>77</v>
      </c>
      <c r="D86" s="9" t="s">
        <v>564</v>
      </c>
      <c r="E86" s="9" t="s">
        <v>565</v>
      </c>
      <c r="F86" s="9" t="s">
        <v>566</v>
      </c>
      <c r="G86" s="9" t="s">
        <v>567</v>
      </c>
      <c r="H86" s="9" t="s">
        <v>568</v>
      </c>
    </row>
    <row r="87" customFormat="false" ht="23.85" hidden="false" customHeight="false" outlineLevel="0" collapsed="false">
      <c r="A87" s="8" t="s">
        <v>247</v>
      </c>
      <c r="B87" s="9" t="s">
        <v>248</v>
      </c>
      <c r="C87" s="9" t="s">
        <v>83</v>
      </c>
      <c r="D87" s="9" t="s">
        <v>569</v>
      </c>
      <c r="E87" s="9" t="s">
        <v>570</v>
      </c>
      <c r="F87" s="9" t="s">
        <v>571</v>
      </c>
      <c r="G87" s="9" t="s">
        <v>572</v>
      </c>
      <c r="H87" s="9" t="s">
        <v>573</v>
      </c>
    </row>
    <row r="88" customFormat="false" ht="23.85" hidden="false" customHeight="false" outlineLevel="0" collapsed="false">
      <c r="A88" s="8" t="s">
        <v>252</v>
      </c>
      <c r="B88" s="9" t="s">
        <v>253</v>
      </c>
      <c r="C88" s="9" t="s">
        <v>83</v>
      </c>
      <c r="D88" s="9" t="s">
        <v>297</v>
      </c>
      <c r="E88" s="9" t="s">
        <v>298</v>
      </c>
      <c r="F88" s="9" t="s">
        <v>299</v>
      </c>
      <c r="G88" s="9" t="s">
        <v>300</v>
      </c>
      <c r="H88" s="9" t="s">
        <v>301</v>
      </c>
    </row>
    <row r="89" customFormat="false" ht="23.85" hidden="false" customHeight="false" outlineLevel="0" collapsed="false">
      <c r="A89" s="8" t="s">
        <v>254</v>
      </c>
      <c r="B89" s="9" t="s">
        <v>255</v>
      </c>
      <c r="C89" s="9" t="s">
        <v>83</v>
      </c>
      <c r="D89" s="9" t="s">
        <v>569</v>
      </c>
      <c r="E89" s="9" t="s">
        <v>570</v>
      </c>
      <c r="F89" s="9" t="s">
        <v>574</v>
      </c>
      <c r="G89" s="9" t="s">
        <v>575</v>
      </c>
      <c r="H89" s="9" t="s">
        <v>576</v>
      </c>
    </row>
    <row r="90" customFormat="false" ht="15" hidden="false" customHeight="false" outlineLevel="0" collapsed="false">
      <c r="A90" s="8" t="s">
        <v>256</v>
      </c>
      <c r="B90" s="9" t="s">
        <v>257</v>
      </c>
      <c r="C90" s="9" t="s">
        <v>83</v>
      </c>
      <c r="D90" s="9" t="s">
        <v>431</v>
      </c>
      <c r="E90" s="9" t="s">
        <v>313</v>
      </c>
      <c r="F90" s="9" t="s">
        <v>436</v>
      </c>
      <c r="G90" s="9" t="s">
        <v>437</v>
      </c>
      <c r="H90" s="9" t="s">
        <v>438</v>
      </c>
    </row>
    <row r="91" customFormat="false" ht="23.85" hidden="false" customHeight="false" outlineLevel="0" collapsed="false">
      <c r="A91" s="8" t="s">
        <v>258</v>
      </c>
      <c r="B91" s="9" t="s">
        <v>259</v>
      </c>
      <c r="C91" s="9" t="s">
        <v>83</v>
      </c>
      <c r="D91" s="9" t="s">
        <v>431</v>
      </c>
      <c r="E91" s="9" t="s">
        <v>313</v>
      </c>
      <c r="F91" s="9" t="s">
        <v>469</v>
      </c>
      <c r="G91" s="9" t="s">
        <v>470</v>
      </c>
      <c r="H91" s="9" t="s">
        <v>468</v>
      </c>
    </row>
    <row r="92" customFormat="false" ht="23.85" hidden="false" customHeight="false" outlineLevel="0" collapsed="false">
      <c r="A92" s="8" t="s">
        <v>260</v>
      </c>
      <c r="B92" s="9" t="s">
        <v>261</v>
      </c>
      <c r="C92" s="9" t="s">
        <v>83</v>
      </c>
      <c r="D92" s="9" t="s">
        <v>577</v>
      </c>
      <c r="E92" s="9" t="s">
        <v>578</v>
      </c>
      <c r="F92" s="9" t="s">
        <v>306</v>
      </c>
      <c r="G92" s="9" t="s">
        <v>307</v>
      </c>
      <c r="H92" s="9" t="s">
        <v>579</v>
      </c>
    </row>
    <row r="93" customFormat="false" ht="23.85" hidden="false" customHeight="false" outlineLevel="0" collapsed="false">
      <c r="A93" s="8" t="s">
        <v>262</v>
      </c>
      <c r="B93" s="9" t="s">
        <v>263</v>
      </c>
      <c r="C93" s="9" t="s">
        <v>83</v>
      </c>
      <c r="D93" s="9" t="s">
        <v>431</v>
      </c>
      <c r="E93" s="9" t="s">
        <v>313</v>
      </c>
      <c r="F93" s="9" t="s">
        <v>436</v>
      </c>
      <c r="G93" s="9" t="s">
        <v>437</v>
      </c>
      <c r="H93" s="9" t="s">
        <v>438</v>
      </c>
    </row>
    <row r="94" customFormat="false" ht="23.85" hidden="false" customHeight="false" outlineLevel="0" collapsed="false">
      <c r="A94" s="8" t="s">
        <v>264</v>
      </c>
      <c r="B94" s="9" t="s">
        <v>265</v>
      </c>
      <c r="C94" s="9" t="s">
        <v>83</v>
      </c>
      <c r="D94" s="9" t="s">
        <v>431</v>
      </c>
      <c r="E94" s="9" t="s">
        <v>313</v>
      </c>
      <c r="F94" s="9" t="s">
        <v>436</v>
      </c>
      <c r="G94" s="9" t="s">
        <v>437</v>
      </c>
      <c r="H94" s="9" t="s">
        <v>438</v>
      </c>
    </row>
    <row r="95" customFormat="false" ht="23.85" hidden="false" customHeight="false" outlineLevel="0" collapsed="false">
      <c r="A95" s="8" t="s">
        <v>266</v>
      </c>
      <c r="B95" s="9" t="s">
        <v>267</v>
      </c>
      <c r="C95" s="9" t="s">
        <v>83</v>
      </c>
      <c r="D95" s="9" t="s">
        <v>431</v>
      </c>
      <c r="E95" s="9" t="s">
        <v>313</v>
      </c>
      <c r="F95" s="9" t="s">
        <v>436</v>
      </c>
      <c r="G95" s="9" t="s">
        <v>437</v>
      </c>
      <c r="H95" s="9" t="s">
        <v>438</v>
      </c>
    </row>
    <row r="96" customFormat="false" ht="23.85" hidden="false" customHeight="false" outlineLevel="0" collapsed="false">
      <c r="A96" s="8" t="s">
        <v>268</v>
      </c>
      <c r="B96" s="9" t="s">
        <v>269</v>
      </c>
      <c r="C96" s="9" t="s">
        <v>83</v>
      </c>
      <c r="D96" s="9" t="s">
        <v>297</v>
      </c>
      <c r="E96" s="9" t="s">
        <v>298</v>
      </c>
      <c r="F96" s="9" t="s">
        <v>299</v>
      </c>
      <c r="G96" s="9" t="s">
        <v>300</v>
      </c>
      <c r="H96" s="9" t="s">
        <v>301</v>
      </c>
    </row>
    <row r="97" customFormat="false" ht="23.85" hidden="false" customHeight="false" outlineLevel="0" collapsed="false">
      <c r="A97" s="8" t="s">
        <v>270</v>
      </c>
      <c r="B97" s="9" t="s">
        <v>271</v>
      </c>
      <c r="C97" s="9" t="s">
        <v>83</v>
      </c>
      <c r="D97" s="9" t="s">
        <v>472</v>
      </c>
      <c r="E97" s="9" t="s">
        <v>436</v>
      </c>
      <c r="F97" s="9" t="s">
        <v>437</v>
      </c>
      <c r="G97" s="9" t="s">
        <v>580</v>
      </c>
      <c r="H97" s="9" t="s">
        <v>430</v>
      </c>
    </row>
    <row r="98" customFormat="false" ht="23.85" hidden="false" customHeight="false" outlineLevel="0" collapsed="false">
      <c r="A98" s="8" t="s">
        <v>272</v>
      </c>
      <c r="B98" s="9" t="s">
        <v>273</v>
      </c>
      <c r="C98" s="9" t="s">
        <v>274</v>
      </c>
      <c r="D98" s="9" t="s">
        <v>581</v>
      </c>
      <c r="E98" s="9" t="s">
        <v>582</v>
      </c>
      <c r="F98" s="9" t="s">
        <v>583</v>
      </c>
      <c r="G98" s="9" t="s">
        <v>584</v>
      </c>
      <c r="H98" s="9" t="s">
        <v>585</v>
      </c>
    </row>
    <row r="99" customFormat="false" ht="23.85" hidden="false" customHeight="false" outlineLevel="0" collapsed="false">
      <c r="A99" s="8" t="s">
        <v>275</v>
      </c>
      <c r="B99" s="9" t="s">
        <v>276</v>
      </c>
      <c r="C99" s="9" t="s">
        <v>274</v>
      </c>
      <c r="D99" s="9" t="s">
        <v>586</v>
      </c>
      <c r="E99" s="9" t="s">
        <v>582</v>
      </c>
      <c r="F99" s="9" t="s">
        <v>583</v>
      </c>
      <c r="G99" s="9" t="s">
        <v>584</v>
      </c>
      <c r="H99" s="9" t="s">
        <v>585</v>
      </c>
    </row>
    <row r="100" customFormat="false" ht="23.85" hidden="false" customHeight="false" outlineLevel="0" collapsed="false">
      <c r="A100" s="8" t="s">
        <v>277</v>
      </c>
      <c r="B100" s="9" t="s">
        <v>278</v>
      </c>
      <c r="C100" s="9" t="s">
        <v>83</v>
      </c>
      <c r="D100" s="9" t="s">
        <v>431</v>
      </c>
      <c r="E100" s="9" t="s">
        <v>313</v>
      </c>
      <c r="F100" s="9" t="s">
        <v>436</v>
      </c>
      <c r="G100" s="9" t="s">
        <v>437</v>
      </c>
      <c r="H100" s="9" t="s">
        <v>438</v>
      </c>
    </row>
    <row r="101" customFormat="false" ht="23.85" hidden="false" customHeight="false" outlineLevel="0" collapsed="false">
      <c r="A101" s="8" t="s">
        <v>279</v>
      </c>
      <c r="B101" s="9" t="s">
        <v>280</v>
      </c>
      <c r="C101" s="9" t="s">
        <v>83</v>
      </c>
      <c r="D101" s="9" t="s">
        <v>297</v>
      </c>
      <c r="E101" s="9" t="s">
        <v>298</v>
      </c>
      <c r="F101" s="9" t="s">
        <v>299</v>
      </c>
      <c r="G101" s="9" t="s">
        <v>300</v>
      </c>
      <c r="H101" s="9" t="s">
        <v>301</v>
      </c>
    </row>
    <row r="102" customFormat="false" ht="46.25" hidden="false" customHeight="false" outlineLevel="0" collapsed="false">
      <c r="A102" s="8" t="s">
        <v>281</v>
      </c>
      <c r="B102" s="9" t="s">
        <v>282</v>
      </c>
      <c r="C102" s="9" t="s">
        <v>77</v>
      </c>
      <c r="D102" s="9" t="s">
        <v>587</v>
      </c>
      <c r="E102" s="9" t="s">
        <v>588</v>
      </c>
      <c r="F102" s="9" t="s">
        <v>589</v>
      </c>
      <c r="G102" s="9" t="s">
        <v>590</v>
      </c>
      <c r="H102" s="9" t="s">
        <v>591</v>
      </c>
    </row>
    <row r="103" customFormat="false" ht="35.05" hidden="false" customHeight="false" outlineLevel="0" collapsed="false">
      <c r="A103" s="8" t="s">
        <v>283</v>
      </c>
      <c r="B103" s="9" t="s">
        <v>284</v>
      </c>
      <c r="C103" s="9" t="s">
        <v>83</v>
      </c>
      <c r="D103" s="9" t="s">
        <v>297</v>
      </c>
      <c r="E103" s="9" t="s">
        <v>298</v>
      </c>
      <c r="F103" s="9" t="s">
        <v>299</v>
      </c>
      <c r="G103" s="9" t="s">
        <v>300</v>
      </c>
      <c r="H103" s="9" t="s">
        <v>370</v>
      </c>
    </row>
  </sheetData>
  <autoFilter ref="A1:H103"/>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34"/>
    <col collapsed="false" customWidth="true" hidden="false" outlineLevel="0" max="3" min="3" style="0" width="13"/>
    <col collapsed="false" customWidth="true" hidden="false" outlineLevel="0" max="4" min="4" style="0" width="10"/>
    <col collapsed="false" customWidth="true" hidden="false" outlineLevel="0" max="5" min="5" style="0" width="20"/>
    <col collapsed="false" customWidth="true" hidden="false" outlineLevel="0" max="7" min="6" style="0" width="11"/>
  </cols>
  <sheetData>
    <row r="1" customFormat="false" ht="15" hidden="false" customHeight="false" outlineLevel="0" collapsed="false">
      <c r="A1" s="7" t="s">
        <v>36</v>
      </c>
      <c r="B1" s="7" t="s">
        <v>592</v>
      </c>
      <c r="C1" s="7" t="s">
        <v>38</v>
      </c>
      <c r="D1" s="7" t="s">
        <v>593</v>
      </c>
      <c r="E1" s="7" t="s">
        <v>594</v>
      </c>
      <c r="F1" s="7" t="s">
        <v>8</v>
      </c>
      <c r="G1" s="7" t="s">
        <v>10</v>
      </c>
    </row>
    <row r="2" customFormat="false" ht="15" hidden="false" customHeight="false" outlineLevel="0" collapsed="false">
      <c r="A2" s="8" t="s">
        <v>50</v>
      </c>
      <c r="B2" s="9" t="s">
        <v>595</v>
      </c>
      <c r="C2" s="8" t="s">
        <v>52</v>
      </c>
      <c r="D2" s="13"/>
      <c r="E2" s="8" t="s">
        <v>596</v>
      </c>
      <c r="F2" s="8" t="n">
        <f aca="false">COUNTIF(Indicators!$C$2:$C$103,$A2)</f>
        <v>8</v>
      </c>
      <c r="G2" s="8" t="n">
        <f aca="false">COUNTIFS(Indicators!$C$2:$C$103,$A2,Indicators!$I$2:$I$103,"YES")</f>
        <v>0</v>
      </c>
    </row>
    <row r="3" customFormat="false" ht="15" hidden="false" customHeight="false" outlineLevel="0" collapsed="false">
      <c r="A3" s="8" t="s">
        <v>81</v>
      </c>
      <c r="B3" s="9" t="s">
        <v>597</v>
      </c>
      <c r="C3" s="8" t="s">
        <v>76</v>
      </c>
      <c r="D3" s="13" t="n">
        <v>0.25</v>
      </c>
      <c r="E3" s="8" t="s">
        <v>598</v>
      </c>
      <c r="F3" s="8" t="n">
        <f aca="false">COUNTIF(Indicators!$C$2:$C$103,$A3)</f>
        <v>11</v>
      </c>
      <c r="G3" s="8" t="n">
        <f aca="false">COUNTIFS(Indicators!$C$2:$C$103,$A3,Indicators!$I$2:$I$103,"YES")</f>
        <v>3</v>
      </c>
    </row>
    <row r="4" customFormat="false" ht="15" hidden="false" customHeight="false" outlineLevel="0" collapsed="false">
      <c r="A4" s="8" t="s">
        <v>110</v>
      </c>
      <c r="B4" s="9" t="s">
        <v>599</v>
      </c>
      <c r="C4" s="8" t="s">
        <v>76</v>
      </c>
      <c r="D4" s="13" t="n">
        <v>0.3</v>
      </c>
      <c r="E4" s="8" t="s">
        <v>598</v>
      </c>
      <c r="F4" s="8" t="n">
        <f aca="false">COUNTIF(Indicators!$C$2:$C$103,$A4)</f>
        <v>13</v>
      </c>
      <c r="G4" s="8" t="n">
        <f aca="false">COUNTIFS(Indicators!$C$2:$C$103,$A4,Indicators!$I$2:$I$103,"YES")</f>
        <v>2</v>
      </c>
    </row>
    <row r="5" customFormat="false" ht="15" hidden="false" customHeight="false" outlineLevel="0" collapsed="false">
      <c r="A5" s="8" t="s">
        <v>138</v>
      </c>
      <c r="B5" s="9" t="s">
        <v>600</v>
      </c>
      <c r="C5" s="8" t="s">
        <v>76</v>
      </c>
      <c r="D5" s="13" t="n">
        <v>0.25</v>
      </c>
      <c r="E5" s="8" t="s">
        <v>598</v>
      </c>
      <c r="F5" s="8" t="n">
        <f aca="false">COUNTIF(Indicators!$C$2:$C$103,$A5)</f>
        <v>13</v>
      </c>
      <c r="G5" s="8" t="n">
        <f aca="false">COUNTIFS(Indicators!$C$2:$C$103,$A5,Indicators!$I$2:$I$103,"YES")</f>
        <v>4</v>
      </c>
    </row>
    <row r="6" customFormat="false" ht="15" hidden="false" customHeight="false" outlineLevel="0" collapsed="false">
      <c r="A6" s="8" t="s">
        <v>74</v>
      </c>
      <c r="B6" s="9" t="s">
        <v>601</v>
      </c>
      <c r="C6" s="8" t="s">
        <v>76</v>
      </c>
      <c r="D6" s="13" t="n">
        <v>0.2</v>
      </c>
      <c r="E6" s="8" t="s">
        <v>598</v>
      </c>
      <c r="F6" s="8" t="n">
        <f aca="false">COUNTIF(Indicators!$C$2:$C$103,$A6)</f>
        <v>14</v>
      </c>
      <c r="G6" s="8" t="n">
        <f aca="false">COUNTIFS(Indicators!$C$2:$C$103,$A6,Indicators!$I$2:$I$103,"YES")</f>
        <v>2</v>
      </c>
    </row>
    <row r="7" customFormat="false" ht="15" hidden="false" customHeight="false" outlineLevel="0" collapsed="false">
      <c r="A7" s="8" t="s">
        <v>192</v>
      </c>
      <c r="B7" s="9" t="s">
        <v>602</v>
      </c>
      <c r="C7" s="8" t="s">
        <v>194</v>
      </c>
      <c r="D7" s="13" t="n">
        <v>0.7</v>
      </c>
      <c r="E7" s="8" t="s">
        <v>598</v>
      </c>
      <c r="F7" s="8" t="n">
        <f aca="false">COUNTIF(Indicators!$C$2:$C$103,$A7)</f>
        <v>14</v>
      </c>
      <c r="G7" s="8" t="n">
        <f aca="false">COUNTIFS(Indicators!$C$2:$C$103,$A7,Indicators!$I$2:$I$103,"YES")</f>
        <v>1</v>
      </c>
    </row>
    <row r="8" customFormat="false" ht="15" hidden="false" customHeight="false" outlineLevel="0" collapsed="false">
      <c r="A8" s="8" t="s">
        <v>223</v>
      </c>
      <c r="B8" s="9" t="s">
        <v>603</v>
      </c>
      <c r="C8" s="8" t="s">
        <v>194</v>
      </c>
      <c r="D8" s="13" t="n">
        <v>0.3</v>
      </c>
      <c r="E8" s="8" t="s">
        <v>598</v>
      </c>
      <c r="F8" s="8" t="n">
        <f aca="false">COUNTIF(Indicators!$C$2:$C$103,$A8)</f>
        <v>12</v>
      </c>
      <c r="G8" s="8" t="n">
        <f aca="false">COUNTIFS(Indicators!$C$2:$C$103,$A8,Indicators!$I$2:$I$103,"YES")</f>
        <v>2</v>
      </c>
    </row>
    <row r="9" customFormat="false" ht="15" hidden="false" customHeight="false" outlineLevel="0" collapsed="false">
      <c r="A9" s="8" t="s">
        <v>249</v>
      </c>
      <c r="B9" s="9" t="s">
        <v>604</v>
      </c>
      <c r="C9" s="8" t="s">
        <v>251</v>
      </c>
      <c r="D9" s="13" t="n">
        <v>1</v>
      </c>
      <c r="E9" s="8" t="s">
        <v>598</v>
      </c>
      <c r="F9" s="8" t="n">
        <f aca="false">COUNTIF(Indicators!$C$2:$C$103,$A9)</f>
        <v>17</v>
      </c>
      <c r="G9" s="8" t="n">
        <f aca="false">COUNTIFS(Indicators!$C$2:$C$103,$A9,Indicators!$I$2:$I$103,"YES")</f>
        <v>0</v>
      </c>
    </row>
    <row r="10" customFormat="false" ht="15" hidden="false" customHeight="false" outlineLevel="0" collapsed="false">
      <c r="A10" s="14" t="s">
        <v>605</v>
      </c>
      <c r="B10" s="15"/>
      <c r="C10" s="14"/>
      <c r="D10" s="14"/>
      <c r="E10" s="14"/>
      <c r="F10" s="14" t="n">
        <f aca="false">SUM(F2:F9)</f>
        <v>102</v>
      </c>
      <c r="G10" s="14" t="n">
        <f aca="false">SUM(G2:G9)</f>
        <v>14</v>
      </c>
    </row>
    <row r="12" customFormat="false" ht="15" hidden="false" customHeight="false" outlineLevel="0" collapsed="false">
      <c r="A12" s="2" t="s">
        <v>606</v>
      </c>
    </row>
    <row r="13" customFormat="false" ht="15" hidden="false" customHeight="false" outlineLevel="0" collapsed="false">
      <c r="A13" s="5" t="s">
        <v>607</v>
      </c>
      <c r="D13" s="16" t="n">
        <f aca="false">SUMIF($C$2:$C$9,"Capability",$D$2:$D$9)</f>
        <v>1</v>
      </c>
    </row>
    <row r="14" customFormat="false" ht="15" hidden="false" customHeight="false" outlineLevel="0" collapsed="false">
      <c r="A14" s="5" t="s">
        <v>608</v>
      </c>
      <c r="D14" s="16" t="n">
        <f aca="false">SUMIF($C$2:$C$9,"Ecosystem",$D$2:$D$9)</f>
        <v>1</v>
      </c>
    </row>
    <row r="15" customFormat="false" ht="15" hidden="false" customHeight="false" outlineLevel="0" collapsed="false">
      <c r="A15" s="5" t="s">
        <v>609</v>
      </c>
      <c r="D15" s="16" t="n">
        <f aca="false">SUMIF($C$2:$C$9,"Outcome",$D$2:$D$9)</f>
        <v>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2" min="2" style="0" width="48"/>
    <col collapsed="false" customWidth="true" hidden="false" outlineLevel="0" max="3" min="3" style="0" width="8"/>
    <col collapsed="false" customWidth="true" hidden="false" outlineLevel="0" max="4" min="4" style="0" width="24"/>
    <col collapsed="false" customWidth="true" hidden="false" outlineLevel="0" max="5" min="5" style="0" width="54"/>
  </cols>
  <sheetData>
    <row r="1" customFormat="false" ht="15" hidden="false" customHeight="false" outlineLevel="0" collapsed="false">
      <c r="A1" s="7" t="s">
        <v>34</v>
      </c>
      <c r="B1" s="7" t="s">
        <v>35</v>
      </c>
      <c r="C1" s="7" t="s">
        <v>36</v>
      </c>
      <c r="D1" s="7" t="s">
        <v>40</v>
      </c>
      <c r="E1" s="7" t="s">
        <v>610</v>
      </c>
    </row>
    <row r="2" customFormat="false" ht="23.85" hidden="false" customHeight="false" outlineLevel="0" collapsed="false">
      <c r="A2" s="8" t="s">
        <v>79</v>
      </c>
      <c r="B2" s="9" t="s">
        <v>80</v>
      </c>
      <c r="C2" s="8" t="s">
        <v>81</v>
      </c>
      <c r="D2" s="9" t="s">
        <v>83</v>
      </c>
      <c r="E2" s="9" t="s">
        <v>611</v>
      </c>
    </row>
    <row r="3" customFormat="false" ht="23.85" hidden="false" customHeight="false" outlineLevel="0" collapsed="false">
      <c r="A3" s="8" t="s">
        <v>93</v>
      </c>
      <c r="B3" s="9" t="s">
        <v>94</v>
      </c>
      <c r="C3" s="8" t="s">
        <v>81</v>
      </c>
      <c r="D3" s="9" t="s">
        <v>83</v>
      </c>
      <c r="E3" s="9" t="s">
        <v>611</v>
      </c>
    </row>
    <row r="4" customFormat="false" ht="23.85" hidden="false" customHeight="false" outlineLevel="0" collapsed="false">
      <c r="A4" s="8" t="s">
        <v>102</v>
      </c>
      <c r="B4" s="9" t="s">
        <v>103</v>
      </c>
      <c r="C4" s="8" t="s">
        <v>81</v>
      </c>
      <c r="D4" s="9" t="s">
        <v>83</v>
      </c>
      <c r="E4" s="9" t="s">
        <v>611</v>
      </c>
    </row>
    <row r="5" customFormat="false" ht="23.85" hidden="false" customHeight="false" outlineLevel="0" collapsed="false">
      <c r="A5" s="8" t="s">
        <v>114</v>
      </c>
      <c r="B5" s="9" t="s">
        <v>115</v>
      </c>
      <c r="C5" s="8" t="s">
        <v>110</v>
      </c>
      <c r="D5" s="9" t="s">
        <v>77</v>
      </c>
      <c r="E5" s="9" t="s">
        <v>611</v>
      </c>
    </row>
    <row r="6" customFormat="false" ht="23.85" hidden="false" customHeight="false" outlineLevel="0" collapsed="false">
      <c r="A6" s="8" t="s">
        <v>130</v>
      </c>
      <c r="B6" s="9" t="s">
        <v>131</v>
      </c>
      <c r="C6" s="8" t="s">
        <v>110</v>
      </c>
      <c r="D6" s="9" t="s">
        <v>77</v>
      </c>
      <c r="E6" s="9" t="s">
        <v>611</v>
      </c>
    </row>
    <row r="7" customFormat="false" ht="23.85" hidden="false" customHeight="false" outlineLevel="0" collapsed="false">
      <c r="A7" s="8" t="s">
        <v>136</v>
      </c>
      <c r="B7" s="9" t="s">
        <v>137</v>
      </c>
      <c r="C7" s="8" t="s">
        <v>138</v>
      </c>
      <c r="D7" s="9" t="s">
        <v>77</v>
      </c>
      <c r="E7" s="9" t="s">
        <v>611</v>
      </c>
    </row>
    <row r="8" customFormat="false" ht="23.85" hidden="false" customHeight="false" outlineLevel="0" collapsed="false">
      <c r="A8" s="8" t="s">
        <v>140</v>
      </c>
      <c r="B8" s="9" t="s">
        <v>141</v>
      </c>
      <c r="C8" s="8" t="s">
        <v>138</v>
      </c>
      <c r="D8" s="9" t="s">
        <v>83</v>
      </c>
      <c r="E8" s="9" t="s">
        <v>611</v>
      </c>
    </row>
    <row r="9" customFormat="false" ht="23.85" hidden="false" customHeight="false" outlineLevel="0" collapsed="false">
      <c r="A9" s="8" t="s">
        <v>146</v>
      </c>
      <c r="B9" s="9" t="s">
        <v>147</v>
      </c>
      <c r="C9" s="8" t="s">
        <v>138</v>
      </c>
      <c r="D9" s="9" t="s">
        <v>77</v>
      </c>
      <c r="E9" s="9" t="s">
        <v>611</v>
      </c>
    </row>
    <row r="10" customFormat="false" ht="23.85" hidden="false" customHeight="false" outlineLevel="0" collapsed="false">
      <c r="A10" s="8" t="s">
        <v>154</v>
      </c>
      <c r="B10" s="9" t="s">
        <v>155</v>
      </c>
      <c r="C10" s="8" t="s">
        <v>138</v>
      </c>
      <c r="D10" s="9" t="s">
        <v>77</v>
      </c>
      <c r="E10" s="9" t="s">
        <v>611</v>
      </c>
    </row>
    <row r="11" customFormat="false" ht="23.85" hidden="false" customHeight="false" outlineLevel="0" collapsed="false">
      <c r="A11" s="8" t="s">
        <v>172</v>
      </c>
      <c r="B11" s="9" t="s">
        <v>173</v>
      </c>
      <c r="C11" s="8" t="s">
        <v>74</v>
      </c>
      <c r="D11" s="9" t="s">
        <v>83</v>
      </c>
      <c r="E11" s="9" t="s">
        <v>611</v>
      </c>
    </row>
    <row r="12" customFormat="false" ht="23.85" hidden="false" customHeight="false" outlineLevel="0" collapsed="false">
      <c r="A12" s="8" t="s">
        <v>176</v>
      </c>
      <c r="B12" s="9" t="s">
        <v>177</v>
      </c>
      <c r="C12" s="8" t="s">
        <v>74</v>
      </c>
      <c r="D12" s="9" t="s">
        <v>77</v>
      </c>
      <c r="E12" s="9" t="s">
        <v>611</v>
      </c>
    </row>
    <row r="13" customFormat="false" ht="23.85" hidden="false" customHeight="false" outlineLevel="0" collapsed="false">
      <c r="A13" s="8" t="s">
        <v>219</v>
      </c>
      <c r="B13" s="9" t="s">
        <v>220</v>
      </c>
      <c r="C13" s="8" t="s">
        <v>192</v>
      </c>
      <c r="D13" s="9" t="s">
        <v>77</v>
      </c>
      <c r="E13" s="9" t="s">
        <v>611</v>
      </c>
    </row>
    <row r="14" customFormat="false" ht="23.85" hidden="false" customHeight="false" outlineLevel="0" collapsed="false">
      <c r="A14" s="8" t="s">
        <v>239</v>
      </c>
      <c r="B14" s="9" t="s">
        <v>240</v>
      </c>
      <c r="C14" s="8" t="s">
        <v>223</v>
      </c>
      <c r="D14" s="9" t="s">
        <v>77</v>
      </c>
      <c r="E14" s="9" t="s">
        <v>611</v>
      </c>
    </row>
    <row r="15" customFormat="false" ht="23.85" hidden="false" customHeight="false" outlineLevel="0" collapsed="false">
      <c r="A15" s="8" t="s">
        <v>245</v>
      </c>
      <c r="B15" s="9" t="s">
        <v>246</v>
      </c>
      <c r="C15" s="8" t="s">
        <v>223</v>
      </c>
      <c r="D15" s="9" t="s">
        <v>77</v>
      </c>
      <c r="E15" s="9" t="s">
        <v>611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12"/>
    <col collapsed="false" customWidth="true" hidden="false" outlineLevel="0" max="3" min="3" style="0" width="82"/>
    <col collapsed="false" customWidth="true" hidden="false" outlineLevel="0" max="4" min="4" style="0" width="10"/>
  </cols>
  <sheetData>
    <row r="1" customFormat="false" ht="15" hidden="false" customHeight="false" outlineLevel="0" collapsed="false">
      <c r="A1" s="4" t="s">
        <v>612</v>
      </c>
    </row>
    <row r="2" customFormat="false" ht="15" hidden="false" customHeight="false" outlineLevel="0" collapsed="false">
      <c r="A2" s="17" t="s">
        <v>613</v>
      </c>
      <c r="B2" s="17" t="s">
        <v>614</v>
      </c>
      <c r="C2" s="17" t="s">
        <v>615</v>
      </c>
      <c r="D2" s="17" t="s">
        <v>616</v>
      </c>
    </row>
    <row r="3" customFormat="false" ht="15" hidden="false" customHeight="false" outlineLevel="0" collapsed="false">
      <c r="A3" s="8" t="n">
        <v>1</v>
      </c>
      <c r="B3" s="8" t="s">
        <v>617</v>
      </c>
      <c r="C3" s="9" t="n">
        <v>1</v>
      </c>
      <c r="D3" s="9" t="n">
        <v>1.8</v>
      </c>
    </row>
    <row r="4" customFormat="false" ht="15" hidden="false" customHeight="false" outlineLevel="0" collapsed="false">
      <c r="A4" s="8" t="n">
        <v>2</v>
      </c>
      <c r="B4" s="8" t="s">
        <v>618</v>
      </c>
      <c r="C4" s="9" t="n">
        <v>1.8</v>
      </c>
      <c r="D4" s="9" t="n">
        <v>2.6</v>
      </c>
    </row>
    <row r="5" customFormat="false" ht="15" hidden="false" customHeight="false" outlineLevel="0" collapsed="false">
      <c r="A5" s="8" t="n">
        <v>3</v>
      </c>
      <c r="B5" s="8" t="s">
        <v>619</v>
      </c>
      <c r="C5" s="9" t="n">
        <v>2.6</v>
      </c>
      <c r="D5" s="9" t="n">
        <v>3.4</v>
      </c>
    </row>
    <row r="6" customFormat="false" ht="15" hidden="false" customHeight="false" outlineLevel="0" collapsed="false">
      <c r="A6" s="8" t="n">
        <v>4</v>
      </c>
      <c r="B6" s="8" t="s">
        <v>620</v>
      </c>
      <c r="C6" s="9" t="n">
        <v>3.4</v>
      </c>
      <c r="D6" s="9" t="n">
        <v>4.2</v>
      </c>
    </row>
    <row r="7" customFormat="false" ht="15" hidden="false" customHeight="false" outlineLevel="0" collapsed="false">
      <c r="A7" s="8" t="n">
        <v>5</v>
      </c>
      <c r="B7" s="8" t="s">
        <v>621</v>
      </c>
      <c r="C7" s="9" t="n">
        <v>4.2</v>
      </c>
      <c r="D7" s="9" t="n">
        <v>5.01</v>
      </c>
    </row>
    <row r="9" customFormat="false" ht="15" hidden="false" customHeight="false" outlineLevel="0" collapsed="false">
      <c r="A9" s="4" t="s">
        <v>622</v>
      </c>
    </row>
    <row r="10" customFormat="false" ht="15" hidden="false" customHeight="false" outlineLevel="0" collapsed="false">
      <c r="A10" s="17" t="s">
        <v>623</v>
      </c>
      <c r="B10" s="17" t="s">
        <v>624</v>
      </c>
      <c r="C10" s="17" t="s">
        <v>625</v>
      </c>
    </row>
    <row r="11" customFormat="false" ht="15" hidden="false" customHeight="false" outlineLevel="0" collapsed="false">
      <c r="A11" s="8" t="s">
        <v>626</v>
      </c>
      <c r="B11" s="8" t="n">
        <v>0.6</v>
      </c>
      <c r="C11" s="9" t="s">
        <v>627</v>
      </c>
    </row>
    <row r="12" customFormat="false" ht="15" hidden="false" customHeight="false" outlineLevel="0" collapsed="false">
      <c r="A12" s="8" t="s">
        <v>628</v>
      </c>
      <c r="B12" s="8" t="n">
        <v>0.7</v>
      </c>
      <c r="C12" s="9" t="s">
        <v>629</v>
      </c>
    </row>
    <row r="13" customFormat="false" ht="15" hidden="false" customHeight="false" outlineLevel="0" collapsed="false">
      <c r="A13" s="8" t="s">
        <v>630</v>
      </c>
      <c r="B13" s="8" t="n">
        <v>0.6</v>
      </c>
      <c r="C13" s="9" t="s">
        <v>631</v>
      </c>
    </row>
    <row r="14" customFormat="false" ht="15" hidden="false" customHeight="false" outlineLevel="0" collapsed="false">
      <c r="A14" s="8" t="s">
        <v>632</v>
      </c>
      <c r="B14" s="8" t="n">
        <v>0.5</v>
      </c>
      <c r="C14" s="9" t="s">
        <v>633</v>
      </c>
    </row>
    <row r="16" customFormat="false" ht="15" hidden="false" customHeight="false" outlineLevel="0" collapsed="false">
      <c r="A16" s="4" t="s">
        <v>634</v>
      </c>
    </row>
    <row r="17" customFormat="false" ht="15" hidden="false" customHeight="false" outlineLevel="0" collapsed="false">
      <c r="A17" s="17" t="s">
        <v>623</v>
      </c>
      <c r="B17" s="17" t="s">
        <v>635</v>
      </c>
      <c r="C17" s="17" t="s">
        <v>625</v>
      </c>
    </row>
    <row r="18" customFormat="false" ht="15" hidden="false" customHeight="false" outlineLevel="0" collapsed="false">
      <c r="A18" s="8" t="s">
        <v>636</v>
      </c>
      <c r="B18" s="8" t="n">
        <v>2.6</v>
      </c>
      <c r="C18" s="9" t="s">
        <v>637</v>
      </c>
    </row>
    <row r="19" customFormat="false" ht="15" hidden="false" customHeight="false" outlineLevel="0" collapsed="false">
      <c r="A19" s="8" t="s">
        <v>638</v>
      </c>
      <c r="B19" s="8" t="n">
        <v>3.4</v>
      </c>
      <c r="C19" s="9" t="s">
        <v>639</v>
      </c>
    </row>
    <row r="20" customFormat="false" ht="15" hidden="false" customHeight="false" outlineLevel="0" collapsed="false">
      <c r="A20" s="8" t="s">
        <v>640</v>
      </c>
      <c r="B20" s="8" t="n">
        <v>2.6</v>
      </c>
      <c r="C20" s="9" t="s">
        <v>641</v>
      </c>
    </row>
    <row r="21" customFormat="false" ht="15" hidden="false" customHeight="false" outlineLevel="0" collapsed="false">
      <c r="A21" s="8" t="s">
        <v>642</v>
      </c>
      <c r="B21" s="8" t="n">
        <v>4.2</v>
      </c>
      <c r="C21" s="9" t="s">
        <v>643</v>
      </c>
    </row>
    <row r="22" customFormat="false" ht="15" hidden="false" customHeight="false" outlineLevel="0" collapsed="false">
      <c r="A22" s="8" t="s">
        <v>644</v>
      </c>
      <c r="B22" s="8" t="n">
        <v>3.4</v>
      </c>
      <c r="C22" s="9" t="s">
        <v>645</v>
      </c>
    </row>
    <row r="23" customFormat="false" ht="15" hidden="false" customHeight="false" outlineLevel="0" collapsed="false">
      <c r="A23" s="8" t="s">
        <v>646</v>
      </c>
      <c r="B23" s="8" t="n">
        <v>2.6</v>
      </c>
      <c r="C23" s="9" t="s">
        <v>647</v>
      </c>
    </row>
    <row r="24" customFormat="false" ht="15" hidden="false" customHeight="false" outlineLevel="0" collapsed="false">
      <c r="A24" s="8" t="s">
        <v>648</v>
      </c>
      <c r="B24" s="8" t="n">
        <v>4.5</v>
      </c>
      <c r="C24" s="9" t="s">
        <v>649</v>
      </c>
    </row>
    <row r="25" customFormat="false" ht="15" hidden="false" customHeight="false" outlineLevel="0" collapsed="false">
      <c r="A25" s="8" t="s">
        <v>650</v>
      </c>
      <c r="B25" s="8" t="n">
        <v>4.2</v>
      </c>
      <c r="C25" s="9" t="s">
        <v>651</v>
      </c>
    </row>
    <row r="26" customFormat="false" ht="15" hidden="false" customHeight="false" outlineLevel="0" collapsed="false">
      <c r="A26" s="8" t="s">
        <v>652</v>
      </c>
      <c r="B26" s="8" t="n">
        <v>3.4</v>
      </c>
      <c r="C26" s="9" t="s">
        <v>653</v>
      </c>
    </row>
    <row r="28" customFormat="false" ht="15" hidden="false" customHeight="false" outlineLevel="0" collapsed="false">
      <c r="A28" s="4" t="s">
        <v>654</v>
      </c>
    </row>
    <row r="29" customFormat="false" ht="15" hidden="false" customHeight="false" outlineLevel="0" collapsed="false">
      <c r="A29" s="17" t="s">
        <v>623</v>
      </c>
      <c r="B29" s="17" t="s">
        <v>624</v>
      </c>
      <c r="C29" s="17" t="s">
        <v>625</v>
      </c>
    </row>
    <row r="30" customFormat="false" ht="23.85" hidden="false" customHeight="false" outlineLevel="0" collapsed="false">
      <c r="A30" s="8" t="s">
        <v>655</v>
      </c>
      <c r="B30" s="8" t="n">
        <v>1.5</v>
      </c>
      <c r="C30" s="9" t="s">
        <v>656</v>
      </c>
    </row>
    <row r="32" customFormat="false" ht="15" hidden="false" customHeight="false" outlineLevel="0" collapsed="false">
      <c r="A32" s="4" t="s">
        <v>657</v>
      </c>
    </row>
    <row r="33" customFormat="false" ht="15" hidden="false" customHeight="false" outlineLevel="0" collapsed="false">
      <c r="A33" s="17" t="s">
        <v>658</v>
      </c>
      <c r="B33" s="17" t="s">
        <v>593</v>
      </c>
      <c r="C33" s="17" t="s">
        <v>625</v>
      </c>
    </row>
    <row r="34" customFormat="false" ht="15" hidden="false" customHeight="false" outlineLevel="0" collapsed="false">
      <c r="A34" s="8" t="s">
        <v>659</v>
      </c>
      <c r="B34" s="8" t="n">
        <v>1</v>
      </c>
      <c r="C34" s="9" t="s">
        <v>660</v>
      </c>
    </row>
    <row r="35" customFormat="false" ht="15" hidden="false" customHeight="false" outlineLevel="0" collapsed="false">
      <c r="A35" s="8" t="s">
        <v>661</v>
      </c>
      <c r="B35" s="8" t="n">
        <v>0.6</v>
      </c>
      <c r="C35" s="9" t="s">
        <v>660</v>
      </c>
    </row>
    <row r="36" customFormat="false" ht="15" hidden="false" customHeight="false" outlineLevel="0" collapsed="false">
      <c r="A36" s="8" t="s">
        <v>662</v>
      </c>
      <c r="B36" s="8" t="n">
        <v>0.3</v>
      </c>
      <c r="C36" s="9" t="s">
        <v>660</v>
      </c>
    </row>
    <row r="37" customFormat="false" ht="15" hidden="false" customHeight="false" outlineLevel="0" collapsed="false">
      <c r="A37" s="8" t="s">
        <v>663</v>
      </c>
      <c r="B37" s="8" t="n">
        <v>0</v>
      </c>
      <c r="C37" s="9" t="s">
        <v>664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2" min="2" style="0" width="26"/>
    <col collapsed="false" customWidth="true" hidden="false" outlineLevel="0" max="3" min="3" style="0" width="28"/>
    <col collapsed="false" customWidth="true" hidden="false" outlineLevel="0" max="4" min="4" style="0" width="40"/>
    <col collapsed="false" customWidth="true" hidden="false" outlineLevel="0" max="5" min="5" style="0" width="78"/>
  </cols>
  <sheetData>
    <row r="1" customFormat="false" ht="15" hidden="false" customHeight="false" outlineLevel="0" collapsed="false">
      <c r="A1" s="7" t="s">
        <v>665</v>
      </c>
      <c r="B1" s="7" t="s">
        <v>592</v>
      </c>
      <c r="C1" s="7" t="s">
        <v>666</v>
      </c>
      <c r="D1" s="7" t="s">
        <v>667</v>
      </c>
      <c r="E1" s="7" t="s">
        <v>668</v>
      </c>
    </row>
    <row r="2" customFormat="false" ht="46.25" hidden="false" customHeight="false" outlineLevel="0" collapsed="false">
      <c r="A2" s="8" t="n">
        <v>1</v>
      </c>
      <c r="B2" s="9" t="s">
        <v>669</v>
      </c>
      <c r="C2" s="9" t="s">
        <v>670</v>
      </c>
      <c r="D2" s="9" t="s">
        <v>671</v>
      </c>
      <c r="E2" s="9" t="s">
        <v>672</v>
      </c>
    </row>
    <row r="3" customFormat="false" ht="57.45" hidden="false" customHeight="false" outlineLevel="0" collapsed="false">
      <c r="A3" s="8" t="n">
        <v>2</v>
      </c>
      <c r="B3" s="9" t="s">
        <v>673</v>
      </c>
      <c r="C3" s="9" t="s">
        <v>674</v>
      </c>
      <c r="D3" s="9" t="s">
        <v>675</v>
      </c>
      <c r="E3" s="9" t="s">
        <v>676</v>
      </c>
    </row>
    <row r="4" customFormat="false" ht="46.25" hidden="false" customHeight="false" outlineLevel="0" collapsed="false">
      <c r="A4" s="8" t="n">
        <v>3</v>
      </c>
      <c r="B4" s="9" t="s">
        <v>677</v>
      </c>
      <c r="C4" s="9" t="s">
        <v>674</v>
      </c>
      <c r="D4" s="9" t="s">
        <v>678</v>
      </c>
      <c r="E4" s="9" t="s">
        <v>679</v>
      </c>
    </row>
    <row r="5" customFormat="false" ht="46.25" hidden="false" customHeight="false" outlineLevel="0" collapsed="false">
      <c r="A5" s="8" t="n">
        <v>4</v>
      </c>
      <c r="B5" s="9" t="s">
        <v>680</v>
      </c>
      <c r="C5" s="9" t="s">
        <v>681</v>
      </c>
      <c r="D5" s="9" t="s">
        <v>682</v>
      </c>
      <c r="E5" s="9" t="s">
        <v>683</v>
      </c>
    </row>
    <row r="7" customFormat="false" ht="46.25" hidden="false" customHeight="false" outlineLevel="0" collapsed="false">
      <c r="B7" s="2" t="s">
        <v>684</v>
      </c>
      <c r="E7" s="3" t="s">
        <v>685</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34"/>
    <col collapsed="false" customWidth="true" hidden="false" outlineLevel="0" max="3" min="3" style="0" width="112"/>
  </cols>
  <sheetData>
    <row r="1" customFormat="false" ht="15" hidden="false" customHeight="false" outlineLevel="0" collapsed="false">
      <c r="A1" s="7" t="s">
        <v>686</v>
      </c>
      <c r="B1" s="7" t="s">
        <v>592</v>
      </c>
      <c r="C1" s="7" t="s">
        <v>687</v>
      </c>
    </row>
    <row r="2" customFormat="false" ht="15" hidden="false" customHeight="false" outlineLevel="0" collapsed="false">
      <c r="A2" s="8" t="s">
        <v>688</v>
      </c>
      <c r="B2" s="9" t="s">
        <v>689</v>
      </c>
      <c r="C2" s="9" t="s">
        <v>690</v>
      </c>
    </row>
    <row r="3" customFormat="false" ht="15" hidden="false" customHeight="false" outlineLevel="0" collapsed="false">
      <c r="A3" s="8" t="s">
        <v>691</v>
      </c>
      <c r="B3" s="9" t="s">
        <v>692</v>
      </c>
      <c r="C3" s="9" t="s">
        <v>693</v>
      </c>
    </row>
    <row r="4" customFormat="false" ht="15" hidden="false" customHeight="false" outlineLevel="0" collapsed="false">
      <c r="A4" s="8" t="s">
        <v>694</v>
      </c>
      <c r="B4" s="9" t="s">
        <v>695</v>
      </c>
      <c r="C4" s="9" t="s">
        <v>696</v>
      </c>
    </row>
    <row r="5" customFormat="false" ht="23.85" hidden="false" customHeight="false" outlineLevel="0" collapsed="false">
      <c r="A5" s="8" t="s">
        <v>697</v>
      </c>
      <c r="B5" s="9" t="s">
        <v>698</v>
      </c>
      <c r="C5" s="9" t="s">
        <v>699</v>
      </c>
    </row>
    <row r="6" customFormat="false" ht="15" hidden="false" customHeight="false" outlineLevel="0" collapsed="false">
      <c r="A6" s="8" t="s">
        <v>42</v>
      </c>
      <c r="B6" s="9" t="s">
        <v>700</v>
      </c>
      <c r="C6" s="9" t="s">
        <v>701</v>
      </c>
    </row>
    <row r="7" customFormat="false" ht="23.85" hidden="false" customHeight="false" outlineLevel="0" collapsed="false">
      <c r="A7" s="8" t="s">
        <v>702</v>
      </c>
      <c r="B7" s="9" t="s">
        <v>703</v>
      </c>
      <c r="C7" s="9" t="s">
        <v>704</v>
      </c>
    </row>
    <row r="8" customFormat="false" ht="15" hidden="false" customHeight="false" outlineLevel="0" collapsed="false">
      <c r="A8" s="8" t="s">
        <v>658</v>
      </c>
      <c r="B8" s="9" t="s">
        <v>705</v>
      </c>
      <c r="C8" s="9" t="s">
        <v>706</v>
      </c>
    </row>
    <row r="9" customFormat="false" ht="15" hidden="false" customHeight="false" outlineLevel="0" collapsed="false">
      <c r="A9" s="8" t="s">
        <v>707</v>
      </c>
      <c r="B9" s="9" t="s">
        <v>708</v>
      </c>
      <c r="C9" s="9" t="s">
        <v>709</v>
      </c>
    </row>
    <row r="10" customFormat="false" ht="15" hidden="false" customHeight="false" outlineLevel="0" collapsed="false">
      <c r="A10" s="8" t="s">
        <v>710</v>
      </c>
      <c r="B10" s="9" t="s">
        <v>711</v>
      </c>
      <c r="C10" s="9" t="s">
        <v>712</v>
      </c>
    </row>
    <row r="11" customFormat="false" ht="15" hidden="false" customHeight="false" outlineLevel="0" collapsed="false">
      <c r="A11" s="8" t="s">
        <v>663</v>
      </c>
      <c r="B11" s="9" t="s">
        <v>663</v>
      </c>
      <c r="C11" s="9" t="s">
        <v>713</v>
      </c>
    </row>
    <row r="12" customFormat="false" ht="15" hidden="false" customHeight="false" outlineLevel="0" collapsed="false">
      <c r="A12" s="8" t="s">
        <v>714</v>
      </c>
      <c r="B12" s="9" t="s">
        <v>715</v>
      </c>
      <c r="C12" s="9" t="s">
        <v>716</v>
      </c>
    </row>
    <row r="13" customFormat="false" ht="15" hidden="false" customHeight="false" outlineLevel="0" collapsed="false">
      <c r="A13" s="8" t="s">
        <v>717</v>
      </c>
      <c r="B13" s="9" t="s">
        <v>717</v>
      </c>
      <c r="C13" s="9" t="s">
        <v>718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LibreOffice/26.2.3.2$MacOSX_AARCH64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2026-08-19T20:42:31Z</dcterms:created>
  <dc:creator>openpyxl</dc:creator>
  <dc:description/>
  <dc:language>en-US</dc:language>
  <cp:lastModifiedBy/>
  <dcterms:modified xsi:type="dcterms:W3CDTF">2026-08-19T20:42:31Z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